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cameroon-project\"/>
    </mc:Choice>
  </mc:AlternateContent>
  <xr:revisionPtr revIDLastSave="0" documentId="13_ncr:1_{7820BC2B-4212-4987-9D3E-A8076FB96D09}" xr6:coauthVersionLast="47" xr6:coauthVersionMax="47" xr10:uidLastSave="{00000000-0000-0000-0000-000000000000}"/>
  <bookViews>
    <workbookView xWindow="27420" yWindow="4005" windowWidth="38700" windowHeight="15345" xr2:uid="{00000000-000D-0000-FFFF-FFFF00000000}"/>
  </bookViews>
  <sheets>
    <sheet name="Americanselect shop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" i="1" l="1"/>
  <c r="B2" i="1"/>
  <c r="B3" i="1"/>
  <c r="J7" i="1"/>
  <c r="K7" i="1" l="1"/>
  <c r="B4" i="1" s="1"/>
</calcChain>
</file>

<file path=xl/sharedStrings.xml><?xml version="1.0" encoding="utf-8"?>
<sst xmlns="http://schemas.openxmlformats.org/spreadsheetml/2006/main" count="179" uniqueCount="146">
  <si>
    <t>TOTAL PURCHASE COST</t>
  </si>
  <si>
    <t>TOTAL SHIPPING &amp; FEES</t>
  </si>
  <si>
    <t>TOTAL LANDED COST</t>
  </si>
  <si>
    <t>EXPECTED PROFIT</t>
  </si>
  <si>
    <t>Date</t>
  </si>
  <si>
    <t>Item Name</t>
  </si>
  <si>
    <t>Category</t>
  </si>
  <si>
    <t>Supplier</t>
  </si>
  <si>
    <t>Qty</t>
  </si>
  <si>
    <t>Unit Cost</t>
  </si>
  <si>
    <t>Shipping / Fees</t>
  </si>
  <si>
    <t>Total Cost</t>
  </si>
  <si>
    <t>Unit Sell Price</t>
  </si>
  <si>
    <t>Total Revenue</t>
  </si>
  <si>
    <t>Profit</t>
  </si>
  <si>
    <t>Status</t>
  </si>
  <si>
    <t>01/01/2026</t>
  </si>
  <si>
    <t>Miss COCO 3.4 oz EDP for Women </t>
  </si>
  <si>
    <t>Infinity 3.3 oz EDT for Men</t>
  </si>
  <si>
    <t>Victory 3.3 oz EDT for Men</t>
  </si>
  <si>
    <t>Platinum 3.4 oz EDP for Men</t>
  </si>
  <si>
    <t>TAJ MAX AQUA SPORT 3.4 O</t>
  </si>
  <si>
    <t>Fantastic Pink 3.4 oz EDP Women</t>
  </si>
  <si>
    <t>TAJ MAX EXOTIC BLISS 3.4</t>
  </si>
  <si>
    <t>LAZELL SPRING FOR WOMEN EDP 3.4 </t>
  </si>
  <si>
    <t>Hercules Paris 3.4 oz EDP for Me</t>
  </si>
  <si>
    <t>Fleur de Paris 3.4 oz EDP for Women </t>
  </si>
  <si>
    <t>LAZELL NIGHT BLOOM FOR WOMEN EDP 3.4</t>
  </si>
  <si>
    <t>Savage 3.4 oz EDP for Men</t>
  </si>
  <si>
    <t>Apparel Candy</t>
  </si>
  <si>
    <t>Paris Night Just Men - Pack of 4 </t>
  </si>
  <si>
    <t>LED Flashlight USB</t>
  </si>
  <si>
    <t>Yiwu Torch Electronic Company</t>
  </si>
  <si>
    <t>Manu Food Chopper</t>
  </si>
  <si>
    <t>Kichen</t>
  </si>
  <si>
    <t>Non Contact Forehead Digital hermometer</t>
  </si>
  <si>
    <t xml:space="preserve">health and wellbeing </t>
  </si>
  <si>
    <t>Olay Body Wash</t>
  </si>
  <si>
    <t>Body and Bath</t>
  </si>
  <si>
    <t>Costco</t>
  </si>
  <si>
    <t>11 cases of 3</t>
  </si>
  <si>
    <t>Toats</t>
  </si>
  <si>
    <t>Storage</t>
  </si>
  <si>
    <t>Men'S Electric Shaver 3 in 1</t>
  </si>
  <si>
    <t>Temu</t>
  </si>
  <si>
    <t>Mop and Bucket Set</t>
  </si>
  <si>
    <t>Rechargeable/Battery Powered(Optional) Digital Wrist Blood </t>
  </si>
  <si>
    <t>Arm Blood Pressure Monitor with LED Large Screen</t>
  </si>
  <si>
    <t>LQT Men'S Electric Shaver</t>
  </si>
  <si>
    <t>Wireless Earphones for Sports | Supporting TWS</t>
  </si>
  <si>
    <t>Wireless Headphones, 5.4 Headphones with 4 ENC Noise-cancellin</t>
  </si>
  <si>
    <t xml:space="preserve"> Acer Wireless Earbuds, Wireless 5.4 Bass Stereo Headset | with Noise Cancelling Microphone</t>
  </si>
  <si>
    <t>[Acer] 2025 new model back-to-school season TWS Wireless </t>
  </si>
  <si>
    <t>LAN XUN Wireless Earbuds Stereo Headset Sports Headphones</t>
  </si>
  <si>
    <t>for iphone 17 Data Cable, USB C to USB C Charging</t>
  </si>
  <si>
    <t>Hyundai LP5 In-Ear Headphones with Enhanced Surround Sound</t>
  </si>
  <si>
    <t>ERUN Smart Watch Compatible for iPhone &amp; Android</t>
  </si>
  <si>
    <t>TG667 Is a Compact And Portable Wireless Speaker </t>
  </si>
  <si>
    <t>TG537 Portable Wireless Speaker - TWS Technology</t>
  </si>
  <si>
    <t>Nokia Go Earbuds+ TWS-201</t>
  </si>
  <si>
    <t>A Set Of 5 USB-C To USB-C Cables, 3FT </t>
  </si>
  <si>
    <t>Portable Wireless Speaker</t>
  </si>
  <si>
    <t>1.5-Inch Full Screen Touch Sports Smartwatch Featuring</t>
  </si>
  <si>
    <t>New Smartwatch, Unisex Gift, Supports</t>
  </si>
  <si>
    <t>New Smart Watch with 2.01-inch Large </t>
  </si>
  <si>
    <t>GT4 PRO Smartwatch Featuring a Full Touchscreen, Wireless Calling, Over 100 Sports Modes, Weather Updates, Stopwatch, Timer, Alarm, SMS Notifications</t>
  </si>
  <si>
    <t>Smart Watch with A Metal Frame, Ceramic Base, And A 2.01-inch Large Screen</t>
  </si>
  <si>
    <t>PRINCESS HIGH HEELS PINK SPRAY | PINK / ONE SIZE</t>
  </si>
  <si>
    <t>SEXY ROSE PINK SPRAY PERFUME EAU DE PARFUM | Pink / ONE SIZE(1) - #FTZEBC1059-3</t>
  </si>
  <si>
    <t>FTZEBC1059-3</t>
  </si>
  <si>
    <t> $17.85</t>
  </si>
  <si>
    <t>LOVE IS FOREVER SPRAY PERFUME EAU DE PARFUM | BLUSH / ONE SIZE(1) - #FTZEBC1369-3</t>
  </si>
  <si>
    <t>FTZEBC1369-3</t>
  </si>
  <si>
    <t>HONEY BEAR PINK SPRAY PERFUME EAU DE PARFUM | Pink / ONE SIZE(1) - #FTZFL3172</t>
  </si>
  <si>
    <t>FTZFL3172</t>
  </si>
  <si>
    <t>NICE GIRL SPRAY PERFUME EAU DE PARFUM FOR WOMEN | PINK / ONE SIZE(1) - #FTZFL2922</t>
  </si>
  <si>
    <t>FTZFL2922</t>
  </si>
  <si>
    <t>PRINCESS HIGH HEELS PINK SPRAY | PINK / ONE SIZE(1) - #FTZEBC1330-3</t>
  </si>
  <si>
    <t>FTZEBC1330-3</t>
  </si>
  <si>
    <t> $25.50</t>
  </si>
  <si>
    <t>CHARM SPRAY PERFUME EAU DE PARFUM FOR WOMEN | Pink / ONE SIZE(1) - #FTZ26189</t>
  </si>
  <si>
    <t>FTZ26189</t>
  </si>
  <si>
    <t> $16.50</t>
  </si>
  <si>
    <t>DAICY BLUE SPRAY PERFUME EAU DE PARFUM | Purple / ONE SIZE(1) - #FTZEBC1048</t>
  </si>
  <si>
    <t>FTZEBC1048</t>
  </si>
  <si>
    <t>Flower Eau De Parfum For Women | FLOWER / ONE SIZE(1) - #FTZ26187</t>
  </si>
  <si>
    <t>FTZ26187</t>
  </si>
  <si>
    <t>FLOWER PINK SPRAY PERFUME EAU DE PARFUM | Pink / ONE SIZE(1) - #FTZ26001</t>
  </si>
  <si>
    <t>FTZ26001</t>
  </si>
  <si>
    <t>GORGEOUS FLOWER SPRAY PERFUME EAU DE PARFUM | Pink / ONE SIZE(1) - #FTZ02858-F</t>
  </si>
  <si>
    <t>FTZ02858-F</t>
  </si>
  <si>
    <t> $17.25</t>
  </si>
  <si>
    <t>Daspa (faire)</t>
  </si>
  <si>
    <t>Lainy Home (faire)</t>
  </si>
  <si>
    <t>Trio Trading (faire)</t>
  </si>
  <si>
    <t>Funteze (faire)</t>
  </si>
  <si>
    <t>Dr Teal's Body Lotion, Lemon Prebiotic Lemon Balm &amp; Essential Oils, 18 fl oz (Pack of 3)</t>
  </si>
  <si>
    <t>Dr Teal's Kids 3-in-1 Sleep Bath: Bubble Bath, Body Wash &amp; Shampoo with Melatonin &amp; Essential Oil, 20 fl oz (Pack of 3)</t>
  </si>
  <si>
    <t>YISSVIC Electric Fly Swatter Foldable Bug Zapper Racket 2 in 1 Mosquito Killer with Attractant Light Rechargeable 1800mAh for Indoor Home Backyard Patio Camping</t>
  </si>
  <si>
    <t>Dr Teal's Body Wash with Pure Epsom Salt, with Prebiotic Lemon Balm &amp; Sage, 24 fl oz (Pack of 4)</t>
  </si>
  <si>
    <t>Dunzoom 3 Pack 8 Digits Price Tag Gun Label Pricing Gun Kit with 12000 Labels &amp; 9 Ink Rollers for Retailer Supermarket Grocery Store Food(Red, Blue, Yellow)</t>
  </si>
  <si>
    <t>Vaseline Intensive Care Body Lotion 4 Pack Sensitive Skin Relief For Dry Skin With Colloidal Oatmeal and Ultra-Hydrating Lipids 20.3 oz</t>
  </si>
  <si>
    <t>Dr Teal's Body Wash with Pure Epsom Salt, with Coconut Oil, 24 fl oz (Pack of 4)</t>
  </si>
  <si>
    <t> $26.91</t>
  </si>
  <si>
    <t>                   $21.73</t>
  </si>
  <si>
    <t> $208.41</t>
  </si>
  <si>
    <t>Dr Teal's Body Wash with Pure Epsom Salt, with Shea Butter &amp; Almond Oil, 24 fl oz (Pack of 4)</t>
  </si>
  <si>
    <t>A 8.45oz RZSYZH USB Rechargeable Electric Blende</t>
  </si>
  <si>
    <t>Stainless Steel Manual Garlic Press with Transparent Cover -</t>
  </si>
  <si>
    <t>Wireless Earphones with Mirror Digital Display, Hifi Sound Quality, High Power,</t>
  </si>
  <si>
    <t>Compact Wireless Speaker for Outdoor Use with Illumination, </t>
  </si>
  <si>
    <t>Reusable Stretchable Storage Lids for Round Pots, Bowls, and Cups</t>
  </si>
  <si>
    <t>1000pcs Long Strip Perfume Test Strips</t>
  </si>
  <si>
    <t>1000pcs of Elastic Food Wrap Covers, Food</t>
  </si>
  <si>
    <t>330pcs Plastic Thank You Bags Suitable for Wedding Favors</t>
  </si>
  <si>
    <t>TG537 Portable Wireless Speaker - TWS Technology, Hands-Free Calling,</t>
  </si>
  <si>
    <t>2025 New Smart Watch, 1.83-inch Touch Screen, Unisex</t>
  </si>
  <si>
    <t>1.5-Inch Full Screen Touch Sports Smartwatch Featuring Wireless Calling, Message</t>
  </si>
  <si>
    <t>20000mAh large-capacity mobile power bank, </t>
  </si>
  <si>
    <t>pc Wireless Earphones for Sports | Supporting TWS 6.0/5.4/5.1/5.0, with Charging Case,</t>
  </si>
  <si>
    <t>2pcs USB Rechargeable Handheld Fan Small Portable Desktop Fan</t>
  </si>
  <si>
    <t>7-in-1 USB Extender, USB Splitter With 1 USB 3.0, 4 USB 2.0 And 2 USB C Ports, For Electronics</t>
  </si>
  <si>
    <t>Monster Wireless Earbuds with CVC 8.0 Noise Reductio</t>
  </si>
  <si>
    <t>A 2025 Hot-selling Round Watch with A Metal F</t>
  </si>
  <si>
    <t>pcs Portable Handheld Fan Lightweight Pocket Electric Fan Outdoor Travel Rechargeable 3 Speed Electric 180° Adjustable</t>
  </si>
  <si>
    <t>2pcs USB Rechargeable Handheld Fan</t>
  </si>
  <si>
    <t>A Set of 5 High-Speed Memory Cards with Adapters</t>
  </si>
  <si>
    <t>Digital Bathroom Scale, Electronic Weight Scale, 400 LBS Large Capacity</t>
  </si>
  <si>
    <t>Hyundai LP5 In-Ear Earphones Low-Accent Surround Sound Noise Reduction Music Sports</t>
  </si>
  <si>
    <t>Set of 10 Cables, Each 6.6 Feet Long, Designed for Iphone 14/13 with Carplay Compatibility. These USB A to Lightning Charging Cables Are Suitable for Iphone Models 14, 14 Plus, 14 P</t>
  </si>
  <si>
    <t>1000pcs of Elastic Food Wrap Covers, Food-Grade</t>
  </si>
  <si>
    <t>Vaseline Intensive Care Nourishing Moisture Body Lotion 3 Pk Made with Ultra-Hydrating Lipids + Pure Oat Extract for Dry Skin, for Nourished, Healthy-Looking Skin 20.3 oz</t>
  </si>
  <si>
    <t>Aveeno Daily Moisturizing Body Lotion, Body Lotion for Dry Skin with Prebiotic Oat, Paraben Free, Fragrance Free, Non-Greasy, Non-Comedogenic Moisturizer, 18 FL OZ</t>
  </si>
  <si>
    <t>Dr Teals Body Wash/Lotion</t>
  </si>
  <si>
    <t>Fabreze Air Freshener</t>
  </si>
  <si>
    <t>4 (2)</t>
  </si>
  <si>
    <t>Crest Mouth Wash</t>
  </si>
  <si>
    <t>9 (3)</t>
  </si>
  <si>
    <t>Irish Springs</t>
  </si>
  <si>
    <t>Degree Deodorant</t>
  </si>
  <si>
    <t>10(5)</t>
  </si>
  <si>
    <t>Oz Rechargeable Portable Blender Cup, Electric USB Juicer Blender, Mini Blender Portable Blender for Shakes And Smoothies, Juice</t>
  </si>
  <si>
    <t>TG192 A Large Capacity 2400mAh Outdoor Wireless Speaker,</t>
  </si>
  <si>
    <t>Men'S Electric Shaver</t>
  </si>
  <si>
    <t>Digital Bathroom Scale, Electronic</t>
  </si>
  <si>
    <t>Manual chopper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</si>
</sst>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0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333333"/>
      <name val="Times New Roman"/>
      <family val="1"/>
    </font>
    <font>
      <sz val="16"/>
      <color theme="1"/>
      <name val="Times New Roman"/>
      <family val="1"/>
    </font>
    <font>
      <sz val="16"/>
      <color rgb="FF333333"/>
      <name val="Times New Roman"/>
      <family val="1"/>
    </font>
    <font>
      <sz val="14"/>
      <color rgb="FF333333"/>
      <name val="Arial"/>
      <family val="2"/>
    </font>
    <font>
      <sz val="14"/>
      <color theme="1"/>
      <name val="Calibri"/>
      <family val="2"/>
      <scheme val="minor"/>
    </font>
    <font>
      <sz val="14"/>
      <color rgb="FF0F1111"/>
      <name val="Arial"/>
      <family val="2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sz val="12"/>
      <color rgb="FFFF0000"/>
      <name val="Arial"/>
      <family val="2"/>
    </font>
    <font>
      <sz val="14"/>
      <color rgb="FFFF0000"/>
      <name val="Arial"/>
      <family val="2"/>
    </font>
    <font>
      <sz val="14"/>
      <color rgb="FF222222"/>
      <name val="Times New Roman"/>
      <family val="1"/>
    </font>
    <font>
      <sz val="14"/>
      <color rgb="FF2C3E50"/>
      <name val="Times New Roman"/>
      <family val="1"/>
    </font>
    <font>
      <sz val="14"/>
      <color rgb="FF0F1111"/>
      <name val="Times New Roman"/>
      <family val="1"/>
    </font>
    <font>
      <sz val="12"/>
      <color rgb="FF222222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/>
    </xf>
    <xf numFmtId="8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2" borderId="0" xfId="0" applyFont="1" applyFill="1" applyAlignment="1">
      <alignment horizontal="right" vertical="center" wrapText="1"/>
    </xf>
    <xf numFmtId="8" fontId="1" fillId="2" borderId="0" xfId="0" applyNumberFormat="1" applyFont="1" applyFill="1" applyAlignment="1">
      <alignment horizontal="right" vertical="center" wrapText="1"/>
    </xf>
    <xf numFmtId="0" fontId="0" fillId="4" borderId="0" xfId="0" applyFill="1"/>
    <xf numFmtId="0" fontId="0" fillId="4" borderId="0" xfId="0" applyFill="1" applyAlignment="1">
      <alignment wrapText="1"/>
    </xf>
    <xf numFmtId="0" fontId="1" fillId="4" borderId="0" xfId="0" applyFont="1" applyFill="1"/>
    <xf numFmtId="0" fontId="5" fillId="4" borderId="0" xfId="0" applyFont="1" applyFill="1"/>
    <xf numFmtId="0" fontId="5" fillId="4" borderId="0" xfId="0" applyFont="1" applyFill="1" applyAlignment="1">
      <alignment wrapText="1"/>
    </xf>
    <xf numFmtId="8" fontId="6" fillId="4" borderId="0" xfId="0" applyNumberFormat="1" applyFont="1" applyFill="1"/>
    <xf numFmtId="0" fontId="3" fillId="3" borderId="0" xfId="0" applyFont="1" applyFill="1"/>
    <xf numFmtId="8" fontId="4" fillId="3" borderId="0" xfId="0" applyNumberFormat="1" applyFont="1" applyFill="1"/>
    <xf numFmtId="8" fontId="7" fillId="3" borderId="0" xfId="0" applyNumberFormat="1" applyFont="1" applyFill="1"/>
    <xf numFmtId="0" fontId="8" fillId="3" borderId="0" xfId="0" applyFont="1" applyFill="1"/>
    <xf numFmtId="6" fontId="8" fillId="3" borderId="0" xfId="0" applyNumberFormat="1" applyFont="1" applyFill="1"/>
    <xf numFmtId="8" fontId="7" fillId="3" borderId="0" xfId="0" applyNumberFormat="1" applyFont="1" applyFill="1" applyAlignment="1">
      <alignment horizontal="right" vertical="center" wrapText="1"/>
    </xf>
    <xf numFmtId="8" fontId="9" fillId="3" borderId="0" xfId="0" applyNumberFormat="1" applyFont="1" applyFill="1" applyAlignment="1">
      <alignment vertical="center" wrapText="1"/>
    </xf>
    <xf numFmtId="8" fontId="9" fillId="3" borderId="0" xfId="0" applyNumberFormat="1" applyFont="1" applyFill="1"/>
    <xf numFmtId="0" fontId="5" fillId="6" borderId="0" xfId="0" applyFont="1" applyFill="1"/>
    <xf numFmtId="0" fontId="0" fillId="6" borderId="0" xfId="0" applyFill="1"/>
    <xf numFmtId="0" fontId="2" fillId="6" borderId="0" xfId="0" applyFont="1" applyFill="1"/>
    <xf numFmtId="0" fontId="1" fillId="6" borderId="0" xfId="0" applyFont="1" applyFill="1" applyAlignment="1">
      <alignment horizontal="right" vertical="center" wrapText="1"/>
    </xf>
    <xf numFmtId="0" fontId="10" fillId="5" borderId="0" xfId="0" applyFont="1" applyFill="1"/>
    <xf numFmtId="8" fontId="10" fillId="5" borderId="0" xfId="0" applyNumberFormat="1" applyFont="1" applyFill="1" applyAlignment="1">
      <alignment horizontal="right" vertical="center" wrapText="1"/>
    </xf>
    <xf numFmtId="0" fontId="10" fillId="5" borderId="0" xfId="0" applyFont="1" applyFill="1" applyAlignment="1">
      <alignment horizontal="left" vertical="top" wrapText="1"/>
    </xf>
    <xf numFmtId="8" fontId="10" fillId="5" borderId="0" xfId="0" applyNumberFormat="1" applyFont="1" applyFill="1"/>
    <xf numFmtId="8" fontId="11" fillId="5" borderId="0" xfId="0" applyNumberFormat="1" applyFont="1" applyFill="1"/>
    <xf numFmtId="0" fontId="10" fillId="5" borderId="0" xfId="0" applyFont="1" applyFill="1" applyAlignment="1">
      <alignment horizontal="right" vertical="center" wrapText="1"/>
    </xf>
    <xf numFmtId="6" fontId="10" fillId="5" borderId="0" xfId="0" applyNumberFormat="1" applyFont="1" applyFill="1"/>
    <xf numFmtId="8" fontId="11" fillId="5" borderId="0" xfId="0" applyNumberFormat="1" applyFont="1" applyFill="1" applyAlignment="1">
      <alignment vertical="center" wrapText="1"/>
    </xf>
    <xf numFmtId="6" fontId="10" fillId="5" borderId="0" xfId="0" applyNumberFormat="1" applyFont="1" applyFill="1" applyAlignment="1">
      <alignment vertical="center" wrapText="1"/>
    </xf>
    <xf numFmtId="8" fontId="12" fillId="5" borderId="0" xfId="0" applyNumberFormat="1" applyFont="1" applyFill="1"/>
    <xf numFmtId="8" fontId="13" fillId="5" borderId="0" xfId="0" applyNumberFormat="1" applyFont="1" applyFill="1"/>
    <xf numFmtId="8" fontId="8" fillId="3" borderId="0" xfId="0" applyNumberFormat="1" applyFont="1" applyFill="1"/>
    <xf numFmtId="0" fontId="3" fillId="5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14" fillId="5" borderId="0" xfId="0" applyFont="1" applyFill="1" applyAlignment="1">
      <alignment wrapText="1"/>
    </xf>
    <xf numFmtId="0" fontId="15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wrapText="1"/>
    </xf>
    <xf numFmtId="0" fontId="14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17" fillId="0" borderId="0" xfId="0" applyFont="1"/>
    <xf numFmtId="0" fontId="17" fillId="0" borderId="0" xfId="0" applyFont="1" applyAlignment="1">
      <alignment wrapText="1"/>
    </xf>
    <xf numFmtId="8" fontId="18" fillId="0" borderId="0" xfId="0" applyNumberFormat="1" applyFont="1"/>
    <xf numFmtId="8" fontId="19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topLeftCell="A88" zoomScale="76" workbookViewId="0">
      <selection activeCell="J117" sqref="J117"/>
    </sheetView>
  </sheetViews>
  <sheetFormatPr defaultRowHeight="18.75" x14ac:dyDescent="0.3"/>
  <cols>
    <col min="1" max="1" width="34.140625" customWidth="1"/>
    <col min="2" max="2" width="23.42578125" style="43" customWidth="1"/>
    <col min="3" max="3" width="25.85546875" customWidth="1"/>
    <col min="4" max="4" width="22.42578125" style="2" customWidth="1"/>
    <col min="5" max="5" width="11.42578125" style="28" customWidth="1"/>
    <col min="6" max="6" width="10.7109375" style="22" bestFit="1" customWidth="1"/>
    <col min="7" max="7" width="19.28515625" customWidth="1"/>
    <col min="8" max="8" width="24.85546875" style="31" customWidth="1"/>
    <col min="9" max="9" width="18.42578125" customWidth="1"/>
    <col min="10" max="10" width="25" customWidth="1"/>
  </cols>
  <sheetData>
    <row r="1" spans="1:12" ht="20.25" x14ac:dyDescent="0.3">
      <c r="A1" s="8" t="s">
        <v>0</v>
      </c>
      <c r="B1" s="43">
        <f>SUM(F:F)</f>
        <v>321.02</v>
      </c>
      <c r="C1" s="8"/>
      <c r="D1" s="9"/>
      <c r="E1" s="27"/>
      <c r="F1" s="19"/>
      <c r="G1" s="8"/>
      <c r="I1" s="8"/>
      <c r="J1" s="8"/>
      <c r="K1" s="8"/>
      <c r="L1" s="8"/>
    </row>
    <row r="2" spans="1:12" ht="20.25" x14ac:dyDescent="0.3">
      <c r="A2" s="8" t="s">
        <v>1</v>
      </c>
      <c r="B2" s="43">
        <f>SUM(G:G)</f>
        <v>77.8</v>
      </c>
      <c r="C2" s="8"/>
      <c r="D2" s="9"/>
      <c r="E2" s="27"/>
      <c r="F2" s="19"/>
      <c r="G2" s="8"/>
      <c r="I2" s="8"/>
      <c r="J2" s="8"/>
      <c r="K2" s="8"/>
      <c r="L2" s="8"/>
    </row>
    <row r="3" spans="1:12" ht="20.25" x14ac:dyDescent="0.3">
      <c r="A3" s="8" t="s">
        <v>2</v>
      </c>
      <c r="B3" s="43">
        <f>SUM(H:H)</f>
        <v>2538.6999999999998</v>
      </c>
      <c r="C3" s="8"/>
      <c r="D3" s="9"/>
      <c r="E3" s="27"/>
      <c r="F3" s="19"/>
      <c r="G3" s="8"/>
      <c r="I3" s="8"/>
      <c r="J3" s="8"/>
      <c r="K3" s="8"/>
      <c r="L3" s="8"/>
    </row>
    <row r="4" spans="1:12" ht="20.25" x14ac:dyDescent="0.3">
      <c r="A4" s="8" t="s">
        <v>3</v>
      </c>
      <c r="B4" s="43">
        <f>SUM(K:K)</f>
        <v>0</v>
      </c>
      <c r="C4" s="8"/>
      <c r="D4" s="9"/>
      <c r="E4" s="27"/>
      <c r="F4" s="19"/>
      <c r="G4" s="8"/>
      <c r="I4" s="8"/>
      <c r="J4" s="8"/>
      <c r="K4" s="8"/>
      <c r="L4" s="8"/>
    </row>
    <row r="5" spans="1:12" ht="20.25" x14ac:dyDescent="0.3">
      <c r="A5" s="8"/>
      <c r="C5" s="8"/>
      <c r="D5" s="9"/>
      <c r="E5" s="27"/>
      <c r="F5" s="19"/>
      <c r="G5" s="8"/>
      <c r="I5" s="8"/>
      <c r="J5" s="8"/>
      <c r="K5" s="8"/>
      <c r="L5" s="8"/>
    </row>
    <row r="6" spans="1:12" ht="20.25" x14ac:dyDescent="0.3">
      <c r="A6" s="8" t="s">
        <v>4</v>
      </c>
      <c r="B6" s="43" t="s">
        <v>5</v>
      </c>
      <c r="C6" s="8" t="s">
        <v>6</v>
      </c>
      <c r="D6" s="9" t="s">
        <v>7</v>
      </c>
      <c r="E6" s="27" t="s">
        <v>8</v>
      </c>
      <c r="F6" s="19" t="s">
        <v>9</v>
      </c>
      <c r="G6" s="8" t="s">
        <v>10</v>
      </c>
      <c r="H6" s="31" t="s">
        <v>11</v>
      </c>
      <c r="I6" s="8" t="s">
        <v>12</v>
      </c>
      <c r="J6" s="8" t="s">
        <v>13</v>
      </c>
      <c r="K6" s="8" t="s">
        <v>14</v>
      </c>
      <c r="L6" s="8" t="s">
        <v>15</v>
      </c>
    </row>
    <row r="7" spans="1:12" ht="37.5" x14ac:dyDescent="0.3">
      <c r="A7" s="8" t="s">
        <v>16</v>
      </c>
      <c r="B7" s="44" t="s">
        <v>17</v>
      </c>
      <c r="C7" s="8"/>
      <c r="D7" s="10" t="s">
        <v>92</v>
      </c>
      <c r="E7" s="27">
        <v>6</v>
      </c>
      <c r="F7" s="20">
        <v>2.95</v>
      </c>
      <c r="G7" s="8"/>
      <c r="I7" s="8"/>
      <c r="J7" s="8">
        <f>E7*I7</f>
        <v>0</v>
      </c>
      <c r="K7" s="8">
        <f>J7-H7</f>
        <v>0</v>
      </c>
      <c r="L7" s="8"/>
    </row>
    <row r="8" spans="1:12" ht="37.5" x14ac:dyDescent="0.3">
      <c r="A8" s="8"/>
      <c r="B8" s="44" t="s">
        <v>18</v>
      </c>
      <c r="C8" s="8"/>
      <c r="D8" s="9"/>
      <c r="E8" s="27">
        <v>6</v>
      </c>
      <c r="F8" s="20">
        <v>2.95</v>
      </c>
      <c r="G8" s="8"/>
      <c r="I8" s="8"/>
      <c r="J8" s="8"/>
      <c r="K8" s="8"/>
      <c r="L8" s="8"/>
    </row>
    <row r="9" spans="1:12" ht="37.5" x14ac:dyDescent="0.3">
      <c r="A9" s="8"/>
      <c r="B9" s="44" t="s">
        <v>19</v>
      </c>
      <c r="C9" s="8"/>
      <c r="D9" s="9"/>
      <c r="E9" s="27">
        <v>3</v>
      </c>
      <c r="F9" s="20">
        <v>2.95</v>
      </c>
      <c r="G9" s="8"/>
      <c r="I9" s="8"/>
      <c r="J9" s="8"/>
      <c r="K9" s="8"/>
      <c r="L9" s="8"/>
    </row>
    <row r="10" spans="1:12" ht="37.5" x14ac:dyDescent="0.3">
      <c r="A10" s="8"/>
      <c r="B10" s="44" t="s">
        <v>20</v>
      </c>
      <c r="C10" s="8"/>
      <c r="D10" s="9"/>
      <c r="E10" s="27">
        <v>6</v>
      </c>
      <c r="F10" s="20">
        <v>3.15</v>
      </c>
      <c r="G10" s="8"/>
      <c r="I10" s="8"/>
      <c r="J10" s="8"/>
      <c r="K10" s="8"/>
      <c r="L10" s="8"/>
    </row>
    <row r="11" spans="1:12" ht="37.5" x14ac:dyDescent="0.3">
      <c r="A11" s="8"/>
      <c r="B11" s="44" t="s">
        <v>21</v>
      </c>
      <c r="C11" s="8"/>
      <c r="D11" s="9"/>
      <c r="E11" s="27">
        <v>1</v>
      </c>
      <c r="F11" s="20">
        <v>8.75</v>
      </c>
      <c r="G11" s="8"/>
      <c r="I11" s="8"/>
      <c r="J11" s="8"/>
      <c r="K11" s="8"/>
      <c r="L11" s="8"/>
    </row>
    <row r="12" spans="1:12" ht="37.5" x14ac:dyDescent="0.3">
      <c r="A12" s="8"/>
      <c r="B12" s="44" t="s">
        <v>22</v>
      </c>
      <c r="C12" s="8"/>
      <c r="D12" s="9"/>
      <c r="E12" s="27">
        <v>5</v>
      </c>
      <c r="F12" s="20">
        <v>3.15</v>
      </c>
      <c r="G12" s="8"/>
      <c r="I12" s="8"/>
      <c r="J12" s="8"/>
      <c r="K12" s="8"/>
      <c r="L12" s="8"/>
    </row>
    <row r="13" spans="1:12" ht="56.25" x14ac:dyDescent="0.3">
      <c r="A13" s="8"/>
      <c r="B13" s="44" t="s">
        <v>23</v>
      </c>
      <c r="C13" s="8"/>
      <c r="D13" s="9"/>
      <c r="E13" s="27">
        <v>1</v>
      </c>
      <c r="F13" s="20">
        <v>8.75</v>
      </c>
      <c r="G13" s="8"/>
      <c r="I13" s="8"/>
      <c r="J13" s="8"/>
      <c r="K13" s="8"/>
      <c r="L13" s="8"/>
    </row>
    <row r="14" spans="1:12" ht="56.25" x14ac:dyDescent="0.3">
      <c r="A14" s="8"/>
      <c r="B14" s="44" t="s">
        <v>24</v>
      </c>
      <c r="C14" s="8"/>
      <c r="D14" s="9"/>
      <c r="E14" s="27">
        <v>3</v>
      </c>
      <c r="F14" s="20">
        <v>5.85</v>
      </c>
      <c r="G14" s="8"/>
      <c r="I14" s="8"/>
      <c r="J14" s="8"/>
      <c r="K14" s="8"/>
      <c r="L14" s="8"/>
    </row>
    <row r="15" spans="1:12" ht="37.5" x14ac:dyDescent="0.3">
      <c r="A15" s="8"/>
      <c r="B15" s="44" t="s">
        <v>25</v>
      </c>
      <c r="C15" s="8"/>
      <c r="D15" s="9"/>
      <c r="E15" s="27">
        <v>6</v>
      </c>
      <c r="F15" s="20">
        <v>2.95</v>
      </c>
      <c r="G15" s="8"/>
      <c r="I15" s="8"/>
      <c r="J15" s="8"/>
      <c r="K15" s="8"/>
      <c r="L15" s="8"/>
    </row>
    <row r="16" spans="1:12" ht="56.25" x14ac:dyDescent="0.3">
      <c r="A16" s="8"/>
      <c r="B16" s="44" t="s">
        <v>26</v>
      </c>
      <c r="C16" s="8"/>
      <c r="D16" s="9"/>
      <c r="E16" s="27">
        <v>6</v>
      </c>
      <c r="F16" s="20">
        <v>3.15</v>
      </c>
      <c r="G16" s="8"/>
      <c r="I16" s="8"/>
      <c r="J16" s="8"/>
      <c r="K16" s="8"/>
      <c r="L16" s="8"/>
    </row>
    <row r="17" spans="1:12" ht="56.25" x14ac:dyDescent="0.3">
      <c r="A17" s="8"/>
      <c r="B17" s="44" t="s">
        <v>27</v>
      </c>
      <c r="C17" s="8"/>
      <c r="D17" s="9"/>
      <c r="E17" s="27">
        <v>2</v>
      </c>
      <c r="F17" s="20">
        <v>3.15</v>
      </c>
      <c r="G17" s="8"/>
      <c r="I17" s="8"/>
      <c r="J17" s="8"/>
      <c r="K17" s="8"/>
      <c r="L17" s="8"/>
    </row>
    <row r="18" spans="1:12" ht="37.5" x14ac:dyDescent="0.3">
      <c r="A18" s="8"/>
      <c r="B18" s="44" t="s">
        <v>28</v>
      </c>
      <c r="C18" s="8"/>
      <c r="D18" s="9"/>
      <c r="E18" s="27">
        <v>6</v>
      </c>
      <c r="F18" s="20">
        <v>2.95</v>
      </c>
      <c r="G18" s="8"/>
      <c r="I18" s="8"/>
      <c r="J18" s="8"/>
      <c r="K18" s="8"/>
      <c r="L18" s="8"/>
    </row>
    <row r="19" spans="1:12" s="13" customFormat="1" ht="20.25" x14ac:dyDescent="0.3">
      <c r="A19" s="16"/>
      <c r="B19" s="43"/>
      <c r="C19" s="16"/>
      <c r="D19" s="17"/>
      <c r="E19" s="27"/>
      <c r="F19" s="19"/>
      <c r="G19" s="18">
        <v>23.94</v>
      </c>
      <c r="H19" s="32">
        <v>104.79</v>
      </c>
      <c r="I19" s="16"/>
      <c r="J19" s="16"/>
      <c r="K19" s="16"/>
      <c r="L19" s="16"/>
    </row>
    <row r="20" spans="1:12" ht="39.75" customHeight="1" x14ac:dyDescent="0.3">
      <c r="B20" s="44" t="s">
        <v>30</v>
      </c>
      <c r="D20" s="3" t="s">
        <v>29</v>
      </c>
      <c r="E20" s="28">
        <v>2</v>
      </c>
      <c r="F20" s="21">
        <v>24</v>
      </c>
      <c r="G20" s="15" t="s">
        <v>104</v>
      </c>
      <c r="H20" s="32">
        <v>69.73</v>
      </c>
    </row>
    <row r="21" spans="1:12" ht="28.5" x14ac:dyDescent="0.3">
      <c r="D21" s="3" t="s">
        <v>32</v>
      </c>
      <c r="E21" s="28">
        <v>15</v>
      </c>
      <c r="F21" s="21">
        <v>1.45</v>
      </c>
      <c r="G21" s="4">
        <v>32.799999999999997</v>
      </c>
      <c r="H21" s="33"/>
    </row>
    <row r="22" spans="1:12" ht="37.5" x14ac:dyDescent="0.3">
      <c r="A22" s="5">
        <v>46050</v>
      </c>
      <c r="B22" s="43" t="s">
        <v>31</v>
      </c>
      <c r="D22" s="3"/>
    </row>
    <row r="23" spans="1:12" x14ac:dyDescent="0.3">
      <c r="D23" s="3"/>
    </row>
    <row r="24" spans="1:12" ht="37.5" x14ac:dyDescent="0.3">
      <c r="A24" s="5">
        <v>46053</v>
      </c>
      <c r="B24" s="43" t="s">
        <v>33</v>
      </c>
      <c r="C24" t="s">
        <v>34</v>
      </c>
      <c r="D24" s="2" t="s">
        <v>93</v>
      </c>
      <c r="E24" s="28">
        <v>11</v>
      </c>
      <c r="F24" s="22">
        <v>4.99</v>
      </c>
      <c r="G24">
        <v>7.92</v>
      </c>
      <c r="H24" s="34">
        <v>62.81</v>
      </c>
    </row>
    <row r="25" spans="1:12" ht="56.25" x14ac:dyDescent="0.3">
      <c r="A25" s="5">
        <v>46053</v>
      </c>
      <c r="B25" s="43" t="s">
        <v>35</v>
      </c>
      <c r="C25" t="s">
        <v>36</v>
      </c>
      <c r="D25" s="2" t="s">
        <v>94</v>
      </c>
      <c r="E25" s="28">
        <v>10</v>
      </c>
      <c r="F25" s="23">
        <v>4</v>
      </c>
      <c r="G25" s="4">
        <v>13.14</v>
      </c>
      <c r="H25" s="34">
        <v>53.14</v>
      </c>
    </row>
    <row r="26" spans="1:12" ht="45" customHeight="1" x14ac:dyDescent="0.3">
      <c r="B26" s="43" t="s">
        <v>37</v>
      </c>
      <c r="C26" t="s">
        <v>38</v>
      </c>
      <c r="D26" s="2" t="s">
        <v>39</v>
      </c>
      <c r="E26" s="28" t="s">
        <v>40</v>
      </c>
      <c r="F26" s="23">
        <v>8</v>
      </c>
      <c r="H26" s="34">
        <v>88</v>
      </c>
    </row>
    <row r="27" spans="1:12" ht="49.5" customHeight="1" x14ac:dyDescent="0.3">
      <c r="B27" s="43" t="s">
        <v>41</v>
      </c>
      <c r="C27" t="s">
        <v>42</v>
      </c>
      <c r="D27" s="2" t="s">
        <v>39</v>
      </c>
      <c r="E27" s="28">
        <v>10</v>
      </c>
      <c r="F27" s="22">
        <v>8</v>
      </c>
      <c r="H27" s="34">
        <v>80</v>
      </c>
    </row>
    <row r="28" spans="1:12" ht="37.5" x14ac:dyDescent="0.3">
      <c r="B28" s="45" t="s">
        <v>43</v>
      </c>
      <c r="D28" s="2" t="s">
        <v>44</v>
      </c>
      <c r="E28" s="28">
        <v>3</v>
      </c>
      <c r="F28" s="22">
        <v>10</v>
      </c>
      <c r="H28" s="34">
        <v>34.89</v>
      </c>
    </row>
    <row r="29" spans="1:12" ht="37.5" x14ac:dyDescent="0.3">
      <c r="B29" s="45" t="s">
        <v>45</v>
      </c>
      <c r="D29" s="2" t="s">
        <v>44</v>
      </c>
      <c r="E29" s="28">
        <v>3</v>
      </c>
      <c r="F29" s="22">
        <v>10</v>
      </c>
      <c r="H29" s="35">
        <v>34.86</v>
      </c>
    </row>
    <row r="30" spans="1:12" ht="75" x14ac:dyDescent="0.3">
      <c r="B30" s="45" t="s">
        <v>46</v>
      </c>
      <c r="D30" s="2" t="s">
        <v>44</v>
      </c>
      <c r="E30" s="28">
        <v>3</v>
      </c>
      <c r="H30" s="35">
        <v>45.07</v>
      </c>
    </row>
    <row r="31" spans="1:12" ht="75" x14ac:dyDescent="0.3">
      <c r="B31" s="45" t="s">
        <v>47</v>
      </c>
      <c r="D31" s="2" t="s">
        <v>44</v>
      </c>
      <c r="E31" s="28">
        <v>3</v>
      </c>
      <c r="H31" s="35">
        <v>51.26</v>
      </c>
    </row>
    <row r="32" spans="1:12" s="6" customFormat="1" ht="37.5" x14ac:dyDescent="0.3">
      <c r="B32" s="45" t="s">
        <v>48</v>
      </c>
      <c r="D32" s="7" t="s">
        <v>44</v>
      </c>
      <c r="E32" s="29">
        <v>1</v>
      </c>
      <c r="F32" s="22"/>
      <c r="H32" s="35">
        <v>5.41</v>
      </c>
    </row>
    <row r="33" spans="2:8" ht="56.25" x14ac:dyDescent="0.3">
      <c r="B33" s="45" t="s">
        <v>49</v>
      </c>
      <c r="D33" s="7" t="s">
        <v>44</v>
      </c>
      <c r="E33" s="28">
        <v>3</v>
      </c>
      <c r="H33" s="35">
        <v>27</v>
      </c>
    </row>
    <row r="34" spans="2:8" ht="93.75" x14ac:dyDescent="0.3">
      <c r="B34" s="45" t="s">
        <v>50</v>
      </c>
      <c r="D34" s="7" t="s">
        <v>44</v>
      </c>
      <c r="E34" s="28">
        <v>2</v>
      </c>
      <c r="H34" s="35">
        <v>13.04</v>
      </c>
    </row>
    <row r="35" spans="2:8" ht="112.5" x14ac:dyDescent="0.3">
      <c r="B35" s="45" t="s">
        <v>51</v>
      </c>
      <c r="D35" s="7" t="s">
        <v>44</v>
      </c>
      <c r="E35" s="28">
        <v>2</v>
      </c>
      <c r="H35" s="35">
        <v>25</v>
      </c>
    </row>
    <row r="36" spans="2:8" ht="75" x14ac:dyDescent="0.3">
      <c r="B36" s="45" t="s">
        <v>52</v>
      </c>
      <c r="D36" s="7" t="s">
        <v>44</v>
      </c>
      <c r="E36" s="28">
        <v>2</v>
      </c>
      <c r="H36" s="35">
        <v>23</v>
      </c>
    </row>
    <row r="37" spans="2:8" ht="75" x14ac:dyDescent="0.3">
      <c r="B37" s="45" t="s">
        <v>53</v>
      </c>
      <c r="D37" s="7" t="s">
        <v>44</v>
      </c>
      <c r="E37" s="28">
        <v>1</v>
      </c>
      <c r="H37" s="35">
        <v>5</v>
      </c>
    </row>
    <row r="38" spans="2:8" ht="56.25" x14ac:dyDescent="0.3">
      <c r="B38" s="45" t="s">
        <v>54</v>
      </c>
      <c r="D38" s="7" t="s">
        <v>44</v>
      </c>
      <c r="E38" s="28">
        <v>10</v>
      </c>
      <c r="H38" s="35">
        <v>2</v>
      </c>
    </row>
    <row r="39" spans="2:8" ht="75" x14ac:dyDescent="0.3">
      <c r="B39" s="45" t="s">
        <v>55</v>
      </c>
      <c r="D39" s="7" t="s">
        <v>44</v>
      </c>
      <c r="E39" s="28">
        <v>1</v>
      </c>
      <c r="H39" s="35">
        <v>9</v>
      </c>
    </row>
    <row r="40" spans="2:8" ht="75" x14ac:dyDescent="0.3">
      <c r="B40" s="45" t="s">
        <v>56</v>
      </c>
      <c r="D40" s="7" t="s">
        <v>44</v>
      </c>
      <c r="E40" s="28">
        <v>1</v>
      </c>
      <c r="H40" s="35">
        <v>3</v>
      </c>
    </row>
    <row r="41" spans="2:8" ht="75" x14ac:dyDescent="0.3">
      <c r="B41" s="45" t="s">
        <v>57</v>
      </c>
      <c r="D41" s="7" t="s">
        <v>44</v>
      </c>
      <c r="E41" s="28">
        <v>1</v>
      </c>
      <c r="H41" s="35">
        <v>11</v>
      </c>
    </row>
    <row r="42" spans="2:8" ht="56.25" x14ac:dyDescent="0.3">
      <c r="B42" s="45" t="s">
        <v>58</v>
      </c>
      <c r="D42" s="7" t="s">
        <v>44</v>
      </c>
      <c r="E42" s="28">
        <v>1</v>
      </c>
      <c r="H42" s="35">
        <v>12</v>
      </c>
    </row>
    <row r="43" spans="2:8" ht="37.5" x14ac:dyDescent="0.3">
      <c r="B43" s="45" t="s">
        <v>59</v>
      </c>
      <c r="D43" s="7" t="s">
        <v>44</v>
      </c>
      <c r="E43" s="28">
        <v>2</v>
      </c>
      <c r="H43" s="35">
        <v>10</v>
      </c>
    </row>
    <row r="44" spans="2:8" ht="56.25" x14ac:dyDescent="0.3">
      <c r="B44" s="45" t="s">
        <v>60</v>
      </c>
      <c r="D44" s="7" t="s">
        <v>44</v>
      </c>
      <c r="E44" s="28">
        <v>5</v>
      </c>
      <c r="H44" s="35">
        <v>5</v>
      </c>
    </row>
    <row r="45" spans="2:8" ht="37.5" x14ac:dyDescent="0.3">
      <c r="B45" s="45" t="s">
        <v>61</v>
      </c>
      <c r="D45" s="7" t="s">
        <v>44</v>
      </c>
      <c r="E45" s="28">
        <v>1</v>
      </c>
      <c r="H45" s="35">
        <v>6</v>
      </c>
    </row>
    <row r="46" spans="2:8" ht="75" x14ac:dyDescent="0.3">
      <c r="B46" s="45" t="s">
        <v>62</v>
      </c>
      <c r="D46" s="7" t="s">
        <v>44</v>
      </c>
      <c r="E46" s="28">
        <v>2</v>
      </c>
      <c r="H46" s="35">
        <v>22</v>
      </c>
    </row>
    <row r="47" spans="2:8" ht="56.25" x14ac:dyDescent="0.3">
      <c r="B47" s="45" t="s">
        <v>63</v>
      </c>
      <c r="D47" s="7" t="s">
        <v>44</v>
      </c>
      <c r="E47" s="28">
        <v>2</v>
      </c>
      <c r="H47" s="35">
        <v>22</v>
      </c>
    </row>
    <row r="48" spans="2:8" ht="56.25" x14ac:dyDescent="0.3">
      <c r="B48" s="45" t="s">
        <v>64</v>
      </c>
      <c r="D48" s="7" t="s">
        <v>44</v>
      </c>
      <c r="E48" s="28">
        <v>1</v>
      </c>
      <c r="H48" s="35">
        <v>12</v>
      </c>
    </row>
    <row r="49" spans="2:8" ht="206.25" x14ac:dyDescent="0.3">
      <c r="B49" s="46" t="s">
        <v>65</v>
      </c>
      <c r="D49" s="7" t="s">
        <v>44</v>
      </c>
      <c r="E49" s="28">
        <v>1</v>
      </c>
      <c r="H49" s="31">
        <v>5</v>
      </c>
    </row>
    <row r="50" spans="2:8" ht="93.75" x14ac:dyDescent="0.3">
      <c r="B50" s="46" t="s">
        <v>66</v>
      </c>
      <c r="D50" s="7" t="s">
        <v>44</v>
      </c>
      <c r="E50" s="28">
        <v>1</v>
      </c>
      <c r="H50" s="31">
        <v>5</v>
      </c>
    </row>
    <row r="52" spans="2:8" ht="75" x14ac:dyDescent="0.3">
      <c r="B52" s="44" t="s">
        <v>67</v>
      </c>
      <c r="D52" s="1" t="s">
        <v>95</v>
      </c>
    </row>
    <row r="53" spans="2:8" ht="112.5" x14ac:dyDescent="0.25">
      <c r="B53" s="47" t="s">
        <v>68</v>
      </c>
      <c r="C53" s="11" t="s">
        <v>69</v>
      </c>
      <c r="D53" s="12"/>
      <c r="E53" s="30">
        <v>3</v>
      </c>
      <c r="F53" s="24">
        <v>5.95</v>
      </c>
      <c r="H53" s="36" t="s">
        <v>70</v>
      </c>
    </row>
    <row r="54" spans="2:8" ht="150" x14ac:dyDescent="0.25">
      <c r="B54" s="47" t="s">
        <v>71</v>
      </c>
      <c r="C54" s="11" t="s">
        <v>72</v>
      </c>
      <c r="D54" s="12"/>
      <c r="E54" s="30">
        <v>3</v>
      </c>
      <c r="F54" s="24">
        <v>5.95</v>
      </c>
      <c r="H54" s="36" t="s">
        <v>70</v>
      </c>
    </row>
    <row r="55" spans="2:8" ht="112.5" x14ac:dyDescent="0.25">
      <c r="B55" s="47" t="s">
        <v>73</v>
      </c>
      <c r="C55" s="11" t="s">
        <v>74</v>
      </c>
      <c r="D55" s="12"/>
      <c r="E55" s="30">
        <v>3</v>
      </c>
      <c r="F55" s="24">
        <v>5.95</v>
      </c>
      <c r="H55" s="36" t="s">
        <v>70</v>
      </c>
    </row>
    <row r="56" spans="2:8" ht="131.25" x14ac:dyDescent="0.25">
      <c r="B56" s="47" t="s">
        <v>75</v>
      </c>
      <c r="C56" s="11" t="s">
        <v>76</v>
      </c>
      <c r="D56" s="12"/>
      <c r="E56" s="30">
        <v>3</v>
      </c>
      <c r="F56" s="24">
        <v>5.95</v>
      </c>
      <c r="H56" s="36" t="s">
        <v>70</v>
      </c>
    </row>
    <row r="57" spans="2:8" ht="93.75" x14ac:dyDescent="0.25">
      <c r="B57" s="47" t="s">
        <v>77</v>
      </c>
      <c r="C57" s="11" t="s">
        <v>78</v>
      </c>
      <c r="D57" s="12"/>
      <c r="E57" s="30">
        <v>3</v>
      </c>
      <c r="F57" s="24">
        <v>8.5</v>
      </c>
      <c r="H57" s="36" t="s">
        <v>79</v>
      </c>
    </row>
    <row r="58" spans="2:8" ht="112.5" x14ac:dyDescent="0.25">
      <c r="B58" s="47" t="s">
        <v>80</v>
      </c>
      <c r="C58" s="11" t="s">
        <v>81</v>
      </c>
      <c r="D58" s="12"/>
      <c r="E58" s="30">
        <v>3</v>
      </c>
      <c r="F58" s="24">
        <v>5.5</v>
      </c>
      <c r="H58" s="36" t="s">
        <v>82</v>
      </c>
    </row>
    <row r="59" spans="2:8" ht="131.25" x14ac:dyDescent="0.25">
      <c r="B59" s="47" t="s">
        <v>83</v>
      </c>
      <c r="C59" s="11" t="s">
        <v>84</v>
      </c>
      <c r="D59" s="12"/>
      <c r="E59" s="30">
        <v>3</v>
      </c>
      <c r="F59" s="24">
        <v>5.95</v>
      </c>
      <c r="H59" s="36" t="s">
        <v>70</v>
      </c>
    </row>
    <row r="60" spans="2:8" ht="93.75" x14ac:dyDescent="0.25">
      <c r="B60" s="47" t="s">
        <v>85</v>
      </c>
      <c r="C60" s="11" t="s">
        <v>86</v>
      </c>
      <c r="D60" s="12"/>
      <c r="E60" s="30">
        <v>3</v>
      </c>
      <c r="F60" s="24">
        <v>5.5</v>
      </c>
      <c r="H60" s="36" t="s">
        <v>82</v>
      </c>
    </row>
    <row r="61" spans="2:8" ht="112.5" x14ac:dyDescent="0.25">
      <c r="B61" s="47" t="s">
        <v>87</v>
      </c>
      <c r="C61" s="11" t="s">
        <v>88</v>
      </c>
      <c r="D61" s="12"/>
      <c r="E61" s="30">
        <v>3</v>
      </c>
      <c r="F61" s="24">
        <v>5.5</v>
      </c>
      <c r="H61" s="36" t="s">
        <v>82</v>
      </c>
    </row>
    <row r="62" spans="2:8" ht="112.5" x14ac:dyDescent="0.25">
      <c r="B62" s="47" t="s">
        <v>89</v>
      </c>
      <c r="C62" s="11" t="s">
        <v>90</v>
      </c>
      <c r="D62" s="12"/>
      <c r="E62" s="30">
        <v>3</v>
      </c>
      <c r="F62" s="24">
        <v>5.75</v>
      </c>
      <c r="H62" s="36" t="s">
        <v>91</v>
      </c>
    </row>
    <row r="63" spans="2:8" s="13" customFormat="1" x14ac:dyDescent="0.3">
      <c r="B63" s="43"/>
      <c r="D63" s="14"/>
      <c r="E63" s="28"/>
      <c r="F63" s="22"/>
      <c r="G63" s="15" t="s">
        <v>103</v>
      </c>
      <c r="H63" s="36" t="s">
        <v>105</v>
      </c>
    </row>
    <row r="64" spans="2:8" ht="112.5" x14ac:dyDescent="0.3">
      <c r="B64" s="48" t="s">
        <v>96</v>
      </c>
      <c r="E64" s="30">
        <v>3</v>
      </c>
      <c r="F64" s="25">
        <v>19.989999999999998</v>
      </c>
      <c r="H64" s="33"/>
    </row>
    <row r="65" spans="2:11" ht="131.25" x14ac:dyDescent="0.3">
      <c r="B65" s="48" t="s">
        <v>97</v>
      </c>
      <c r="E65" s="30">
        <v>3</v>
      </c>
      <c r="F65" s="26"/>
      <c r="H65" s="41">
        <v>14.17</v>
      </c>
    </row>
    <row r="66" spans="2:11" ht="206.25" x14ac:dyDescent="0.3">
      <c r="B66" s="48" t="s">
        <v>98</v>
      </c>
      <c r="E66" s="30">
        <v>2</v>
      </c>
      <c r="F66" s="26"/>
      <c r="H66" s="41">
        <v>23.99</v>
      </c>
    </row>
    <row r="67" spans="2:11" ht="112.5" x14ac:dyDescent="0.3">
      <c r="B67" s="48" t="s">
        <v>99</v>
      </c>
      <c r="E67" s="30">
        <v>4</v>
      </c>
      <c r="F67" s="26"/>
      <c r="H67" s="41">
        <v>21.98</v>
      </c>
    </row>
    <row r="68" spans="2:11" ht="187.5" x14ac:dyDescent="0.3">
      <c r="B68" s="48" t="s">
        <v>100</v>
      </c>
      <c r="E68" s="30">
        <v>3</v>
      </c>
      <c r="F68" s="26"/>
      <c r="H68" s="41">
        <v>35.99</v>
      </c>
    </row>
    <row r="69" spans="2:11" ht="150" x14ac:dyDescent="0.3">
      <c r="B69" s="48" t="s">
        <v>101</v>
      </c>
      <c r="E69" s="30">
        <v>4</v>
      </c>
      <c r="F69" s="26"/>
      <c r="H69" s="41">
        <v>22.76</v>
      </c>
    </row>
    <row r="70" spans="2:11" ht="93.75" x14ac:dyDescent="0.3">
      <c r="B70" s="48" t="s">
        <v>102</v>
      </c>
      <c r="E70" s="30">
        <v>4</v>
      </c>
      <c r="F70" s="26"/>
      <c r="H70" s="41">
        <v>23.48</v>
      </c>
    </row>
    <row r="71" spans="2:11" ht="112.5" x14ac:dyDescent="0.3">
      <c r="B71" s="48" t="s">
        <v>106</v>
      </c>
      <c r="E71" s="30">
        <v>4</v>
      </c>
      <c r="F71" s="26"/>
      <c r="H71" s="41">
        <v>22.27</v>
      </c>
    </row>
    <row r="72" spans="2:11" ht="56.25" x14ac:dyDescent="0.3">
      <c r="B72" s="49" t="s">
        <v>107</v>
      </c>
      <c r="E72" s="30">
        <v>6</v>
      </c>
      <c r="H72" s="34">
        <v>38.26</v>
      </c>
    </row>
    <row r="73" spans="2:11" ht="75" x14ac:dyDescent="0.3">
      <c r="B73" s="49" t="s">
        <v>108</v>
      </c>
      <c r="E73" s="30">
        <v>2</v>
      </c>
      <c r="F73" s="23">
        <v>6</v>
      </c>
      <c r="H73" s="34">
        <v>15.65</v>
      </c>
    </row>
    <row r="74" spans="2:11" ht="93.75" x14ac:dyDescent="0.3">
      <c r="B74" s="49" t="s">
        <v>109</v>
      </c>
      <c r="E74" s="30">
        <v>4</v>
      </c>
      <c r="H74" s="34">
        <v>20.11</v>
      </c>
    </row>
    <row r="75" spans="2:11" ht="75" x14ac:dyDescent="0.3">
      <c r="B75" s="49" t="s">
        <v>110</v>
      </c>
      <c r="E75" s="30">
        <v>2</v>
      </c>
    </row>
    <row r="76" spans="2:11" ht="93.75" x14ac:dyDescent="0.3">
      <c r="B76" s="49" t="s">
        <v>111</v>
      </c>
      <c r="E76" s="28">
        <v>15</v>
      </c>
      <c r="H76" s="34">
        <v>31.5</v>
      </c>
    </row>
    <row r="77" spans="2:11" ht="56.25" x14ac:dyDescent="0.3">
      <c r="B77" s="49" t="s">
        <v>130</v>
      </c>
      <c r="E77" s="28">
        <v>6</v>
      </c>
      <c r="H77" s="34">
        <v>23</v>
      </c>
    </row>
    <row r="78" spans="2:11" ht="37.5" x14ac:dyDescent="0.3">
      <c r="B78" s="49" t="s">
        <v>112</v>
      </c>
      <c r="E78" s="28">
        <v>1</v>
      </c>
      <c r="H78" s="34">
        <v>10.34</v>
      </c>
    </row>
    <row r="79" spans="2:11" ht="56.25" x14ac:dyDescent="0.3">
      <c r="B79" s="49" t="s">
        <v>113</v>
      </c>
      <c r="E79" s="28">
        <v>6</v>
      </c>
      <c r="F79" s="22">
        <v>3.68</v>
      </c>
      <c r="H79" s="37">
        <v>23</v>
      </c>
    </row>
    <row r="80" spans="2:11" ht="75" x14ac:dyDescent="0.3">
      <c r="B80" s="49" t="s">
        <v>114</v>
      </c>
      <c r="H80" s="34">
        <v>16</v>
      </c>
      <c r="K80" s="13"/>
    </row>
    <row r="81" spans="2:8" ht="75" x14ac:dyDescent="0.3">
      <c r="B81" s="49" t="s">
        <v>57</v>
      </c>
      <c r="E81" s="28">
        <v>7</v>
      </c>
      <c r="F81" s="22">
        <v>14</v>
      </c>
      <c r="H81" s="37">
        <v>120</v>
      </c>
    </row>
    <row r="82" spans="2:8" ht="75" x14ac:dyDescent="0.3">
      <c r="B82" s="49" t="s">
        <v>115</v>
      </c>
      <c r="H82" s="37">
        <v>75</v>
      </c>
    </row>
    <row r="83" spans="2:8" ht="75" x14ac:dyDescent="0.3">
      <c r="B83" s="49" t="s">
        <v>116</v>
      </c>
      <c r="E83" s="28">
        <v>2</v>
      </c>
      <c r="H83" s="37">
        <v>10</v>
      </c>
    </row>
    <row r="84" spans="2:8" ht="93.75" x14ac:dyDescent="0.3">
      <c r="B84" s="49" t="s">
        <v>117</v>
      </c>
      <c r="E84" s="28">
        <v>4</v>
      </c>
      <c r="H84" s="37">
        <v>40</v>
      </c>
    </row>
    <row r="85" spans="2:8" ht="56.25" x14ac:dyDescent="0.3">
      <c r="B85" s="49" t="s">
        <v>118</v>
      </c>
      <c r="E85" s="28">
        <v>20</v>
      </c>
      <c r="H85" s="37">
        <v>90</v>
      </c>
    </row>
    <row r="86" spans="2:8" ht="37.5" x14ac:dyDescent="0.3">
      <c r="B86" s="49" t="s">
        <v>59</v>
      </c>
      <c r="E86" s="28">
        <v>9</v>
      </c>
      <c r="F86" s="22">
        <v>10.6</v>
      </c>
      <c r="H86" s="35">
        <v>102.08</v>
      </c>
    </row>
    <row r="87" spans="2:8" ht="112.5" x14ac:dyDescent="0.3">
      <c r="B87" s="49" t="s">
        <v>119</v>
      </c>
      <c r="E87" s="28">
        <v>5</v>
      </c>
      <c r="H87" s="35">
        <v>36.22</v>
      </c>
    </row>
    <row r="88" spans="2:8" ht="93.75" x14ac:dyDescent="0.3">
      <c r="B88" s="49" t="s">
        <v>120</v>
      </c>
      <c r="H88" s="35">
        <v>27.96</v>
      </c>
    </row>
    <row r="89" spans="2:8" ht="112.5" x14ac:dyDescent="0.3">
      <c r="B89" s="49" t="s">
        <v>121</v>
      </c>
      <c r="E89" s="28">
        <v>10</v>
      </c>
      <c r="H89" s="35">
        <v>34.450000000000003</v>
      </c>
    </row>
    <row r="90" spans="2:8" ht="56.25" x14ac:dyDescent="0.3">
      <c r="B90" s="49" t="s">
        <v>122</v>
      </c>
      <c r="E90" s="28">
        <v>1</v>
      </c>
      <c r="H90" s="35">
        <v>5.09</v>
      </c>
    </row>
    <row r="91" spans="2:8" ht="56.25" x14ac:dyDescent="0.3">
      <c r="B91" s="49" t="s">
        <v>123</v>
      </c>
      <c r="H91" s="35">
        <v>4.5999999999999996</v>
      </c>
    </row>
    <row r="92" spans="2:8" ht="150" x14ac:dyDescent="0.3">
      <c r="B92" s="49" t="s">
        <v>124</v>
      </c>
      <c r="E92" s="28">
        <v>9</v>
      </c>
      <c r="H92" s="35">
        <v>33.79</v>
      </c>
    </row>
    <row r="93" spans="2:8" ht="56.25" x14ac:dyDescent="0.3">
      <c r="B93" s="49" t="s">
        <v>125</v>
      </c>
      <c r="H93" s="35">
        <v>27.96</v>
      </c>
    </row>
    <row r="94" spans="2:8" ht="75" x14ac:dyDescent="0.3">
      <c r="B94" s="49" t="s">
        <v>126</v>
      </c>
      <c r="E94" s="28">
        <v>5</v>
      </c>
      <c r="H94" s="35">
        <v>25.66</v>
      </c>
    </row>
    <row r="95" spans="2:8" ht="93.75" x14ac:dyDescent="0.3">
      <c r="B95" s="49" t="s">
        <v>127</v>
      </c>
      <c r="E95" s="28">
        <v>4</v>
      </c>
      <c r="H95" s="38">
        <v>34.700000000000003</v>
      </c>
    </row>
    <row r="96" spans="2:8" ht="112.5" x14ac:dyDescent="0.3">
      <c r="B96" s="49" t="s">
        <v>128</v>
      </c>
      <c r="E96" s="28">
        <v>10</v>
      </c>
      <c r="H96" s="39">
        <v>165</v>
      </c>
    </row>
    <row r="97" spans="2:8" ht="112.5" x14ac:dyDescent="0.3">
      <c r="B97" s="49" t="s">
        <v>128</v>
      </c>
      <c r="E97" s="28">
        <v>15</v>
      </c>
      <c r="H97" s="34">
        <v>12.32</v>
      </c>
    </row>
    <row r="98" spans="2:8" ht="206.25" x14ac:dyDescent="0.3">
      <c r="B98" s="49" t="s">
        <v>129</v>
      </c>
      <c r="E98" s="28">
        <v>10</v>
      </c>
      <c r="H98" s="34">
        <v>11.37</v>
      </c>
    </row>
    <row r="99" spans="2:8" ht="93.75" x14ac:dyDescent="0.3">
      <c r="B99" s="49" t="s">
        <v>111</v>
      </c>
    </row>
    <row r="100" spans="2:8" ht="187.5" x14ac:dyDescent="0.3">
      <c r="B100" s="50" t="s">
        <v>131</v>
      </c>
      <c r="E100" s="28">
        <v>15</v>
      </c>
      <c r="F100" s="23">
        <v>12</v>
      </c>
    </row>
    <row r="101" spans="2:8" ht="206.25" x14ac:dyDescent="0.3">
      <c r="B101" s="50" t="s">
        <v>132</v>
      </c>
      <c r="E101" s="28" t="s">
        <v>135</v>
      </c>
      <c r="F101" s="23">
        <v>17</v>
      </c>
      <c r="H101" s="37">
        <v>34</v>
      </c>
    </row>
    <row r="102" spans="2:8" ht="37.5" x14ac:dyDescent="0.3">
      <c r="B102" s="43" t="s">
        <v>133</v>
      </c>
      <c r="F102" s="23">
        <v>6</v>
      </c>
      <c r="H102" s="40">
        <v>207.26</v>
      </c>
    </row>
    <row r="103" spans="2:8" ht="37.5" x14ac:dyDescent="0.3">
      <c r="B103" s="43" t="s">
        <v>134</v>
      </c>
      <c r="E103" s="28">
        <v>12</v>
      </c>
      <c r="F103" s="23">
        <v>10</v>
      </c>
      <c r="H103" s="37">
        <v>30</v>
      </c>
    </row>
    <row r="104" spans="2:8" x14ac:dyDescent="0.3">
      <c r="B104" s="43" t="s">
        <v>136</v>
      </c>
      <c r="E104" s="28" t="s">
        <v>137</v>
      </c>
      <c r="F104" s="42">
        <v>11.99</v>
      </c>
      <c r="H104" s="37">
        <v>36</v>
      </c>
    </row>
    <row r="105" spans="2:8" x14ac:dyDescent="0.3">
      <c r="B105" s="43" t="s">
        <v>138</v>
      </c>
      <c r="E105" s="28">
        <v>20</v>
      </c>
      <c r="H105" s="34">
        <v>11.99</v>
      </c>
    </row>
    <row r="106" spans="2:8" ht="37.5" customHeight="1" x14ac:dyDescent="0.3">
      <c r="B106" s="43" t="s">
        <v>139</v>
      </c>
      <c r="E106" s="28" t="s">
        <v>140</v>
      </c>
      <c r="F106" s="23">
        <v>11</v>
      </c>
      <c r="H106" s="37">
        <v>22</v>
      </c>
    </row>
    <row r="107" spans="2:8" ht="106.5" x14ac:dyDescent="0.3">
      <c r="B107" s="52" t="s">
        <v>141</v>
      </c>
      <c r="E107" s="28">
        <v>5</v>
      </c>
      <c r="F107" s="42">
        <v>4.12</v>
      </c>
      <c r="H107" s="34">
        <v>20.239999999999998</v>
      </c>
    </row>
    <row r="108" spans="2:8" ht="61.5" x14ac:dyDescent="0.3">
      <c r="B108" s="52" t="s">
        <v>142</v>
      </c>
      <c r="E108" s="28">
        <v>5</v>
      </c>
      <c r="F108" s="23">
        <v>13</v>
      </c>
      <c r="H108" s="37">
        <v>65</v>
      </c>
    </row>
    <row r="109" spans="2:8" x14ac:dyDescent="0.3">
      <c r="B109" s="51" t="s">
        <v>143</v>
      </c>
      <c r="E109" s="28">
        <v>3</v>
      </c>
      <c r="H109" s="53">
        <v>34.75</v>
      </c>
    </row>
    <row r="110" spans="2:8" x14ac:dyDescent="0.3">
      <c r="B110" s="51" t="s">
        <v>144</v>
      </c>
      <c r="E110" s="28">
        <v>2</v>
      </c>
      <c r="H110" s="54">
        <v>19.760000000000002</v>
      </c>
    </row>
    <row r="111" spans="2:8" x14ac:dyDescent="0.3">
      <c r="B111" s="43" t="s">
        <v>145</v>
      </c>
      <c r="E111" s="28">
        <v>2</v>
      </c>
      <c r="H111" s="37">
        <v>12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Americanselect shop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Esther Nji</cp:lastModifiedBy>
  <dcterms:created xsi:type="dcterms:W3CDTF">2026-01-15T16:50:11Z</dcterms:created>
  <dcterms:modified xsi:type="dcterms:W3CDTF">2026-03-28T20:57:00Z</dcterms:modified>
</cp:coreProperties>
</file>