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Cameroon Project\"/>
    </mc:Choice>
  </mc:AlternateContent>
  <xr:revisionPtr revIDLastSave="0" documentId="13_ncr:1_{ACF03F06-190D-42C3-ADB9-18B2A12F0E2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mericanselect shop 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J7" i="1"/>
  <c r="B2" i="1"/>
  <c r="B1" i="1"/>
  <c r="K7" i="1" l="1"/>
  <c r="B4" i="1" s="1"/>
</calcChain>
</file>

<file path=xl/sharedStrings.xml><?xml version="1.0" encoding="utf-8"?>
<sst xmlns="http://schemas.openxmlformats.org/spreadsheetml/2006/main" count="91" uniqueCount="70">
  <si>
    <t>TOTAL PURCHASE COST</t>
  </si>
  <si>
    <t>TOTAL SHIPPING &amp; FEES</t>
  </si>
  <si>
    <t>TOTAL LANDED COST</t>
  </si>
  <si>
    <t>EXPECTED PROFIT</t>
  </si>
  <si>
    <t>Date</t>
  </si>
  <si>
    <t>Item Name</t>
  </si>
  <si>
    <t>Category</t>
  </si>
  <si>
    <t>Supplier</t>
  </si>
  <si>
    <t>Qty</t>
  </si>
  <si>
    <t>Unit Cost</t>
  </si>
  <si>
    <t>Shipping / Fees</t>
  </si>
  <si>
    <t>Total Cost</t>
  </si>
  <si>
    <t>Unit Sell Price</t>
  </si>
  <si>
    <t>Total Revenue</t>
  </si>
  <si>
    <t>Profit</t>
  </si>
  <si>
    <t>Status</t>
  </si>
  <si>
    <t>01/01/2026</t>
  </si>
  <si>
    <t>Miss COCO 3.4 oz EDP for Women </t>
  </si>
  <si>
    <t>Infinity 3.3 oz EDT for Men</t>
  </si>
  <si>
    <t>Victory 3.3 oz EDT for Men</t>
  </si>
  <si>
    <t>Platinum 3.4 oz EDP for Men</t>
  </si>
  <si>
    <t>TAJ MAX AQUA SPORT 3.4 O</t>
  </si>
  <si>
    <t>Fantastic Pink 3.4 oz EDP Women</t>
  </si>
  <si>
    <t>TAJ MAX EXOTIC BLISS 3.4</t>
  </si>
  <si>
    <t>LAZELL SPRING FOR WOMEN EDP 3.4 </t>
  </si>
  <si>
    <t>Hercules Paris 3.4 oz EDP for Me</t>
  </si>
  <si>
    <t>Fleur de Paris 3.4 oz EDP for Women </t>
  </si>
  <si>
    <t>LAZELL NIGHT BLOOM FOR WOMEN EDP 3.4</t>
  </si>
  <si>
    <t>Savage 3.4 oz EDP for Men</t>
  </si>
  <si>
    <t>Apparel Candy</t>
  </si>
  <si>
    <t>Paris Night Just Men - Pack of 4 </t>
  </si>
  <si>
    <t> $21.73</t>
  </si>
  <si>
    <t> $69.73</t>
  </si>
  <si>
    <t>Daspa</t>
  </si>
  <si>
    <t>LED Flashlight USB</t>
  </si>
  <si>
    <t>Yiwu Torch Electronic Company</t>
  </si>
  <si>
    <t>Manu Food Chopper</t>
  </si>
  <si>
    <t>Kichen</t>
  </si>
  <si>
    <t>Lainy Home</t>
  </si>
  <si>
    <t>Non Contact Forehead Digital hermometer</t>
  </si>
  <si>
    <t xml:space="preserve">health and wellbeing </t>
  </si>
  <si>
    <t>Trio Trading</t>
  </si>
  <si>
    <t>Olay Body Wash</t>
  </si>
  <si>
    <t>Body and Bath</t>
  </si>
  <si>
    <t>Costco</t>
  </si>
  <si>
    <t>11 cases of 3</t>
  </si>
  <si>
    <t>Toats</t>
  </si>
  <si>
    <t>Storage</t>
  </si>
  <si>
    <t>Men'S Electric Shaver 3 in 1</t>
  </si>
  <si>
    <t>Temu</t>
  </si>
  <si>
    <t>Mop and Bucket Set</t>
  </si>
  <si>
    <t>Rechargeable/Battery Powered(Optional) Digital Wrist Blood </t>
  </si>
  <si>
    <t>Arm Blood Pressure Monitor with LED Large Screen</t>
  </si>
  <si>
    <t>LQT Men'S Electric Shaver</t>
  </si>
  <si>
    <t>Wireless Earphones for Sports | Supporting TWS</t>
  </si>
  <si>
    <t>Wireless Headphones, 5.4 Headphones with 4 ENC Noise-cancellin</t>
  </si>
  <si>
    <t xml:space="preserve"> Acer Wireless Earbuds, Wireless 5.4 Bass Stereo Headset | with Noise Cancelling Microphone</t>
  </si>
  <si>
    <t>[Acer] 2025 new model back-to-school season TWS Wireless </t>
  </si>
  <si>
    <t>LAN XUN Wireless Earbuds Stereo Headset Sports Headphones</t>
  </si>
  <si>
    <t>for iphone 17 Data Cable, USB C to USB C Charging</t>
  </si>
  <si>
    <t>Hyundai LP5 In-Ear Headphones with Enhanced Surround Sound</t>
  </si>
  <si>
    <t>ERUN Smart Watch Compatible for iPhone &amp; Android</t>
  </si>
  <si>
    <t>TG667 Is a Compact And Portable Wireless Speaker </t>
  </si>
  <si>
    <t>TG537 Portable Wireless Speaker - TWS Technology</t>
  </si>
  <si>
    <t>Nokia Go Earbuds+ TWS-201</t>
  </si>
  <si>
    <t>A Set Of 5 USB-C To USB-C Cables, 3FT </t>
  </si>
  <si>
    <t>Portable Wireless Speaker</t>
  </si>
  <si>
    <t>1.5-Inch Full Screen Touch Sports Smartwatch Featuring</t>
  </si>
  <si>
    <t>New Smartwatch, Unisex Gift, Supports</t>
  </si>
  <si>
    <t>New Smart Watch with 2.01-inch Large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</si>
</sst>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10" x14ac:knownFonts="1">
    <font>
      <sz val="11"/>
      <color theme="1"/>
      <name val="Calibri"/>
      <family val="2"/>
      <scheme val="minor"/>
    </font>
    <font>
      <sz val="11"/>
      <color rgb="FF333333"/>
      <name val="Arial"/>
      <family val="2"/>
    </font>
    <font>
      <sz val="12"/>
      <color theme="1"/>
      <name val="Calibri"/>
      <family val="2"/>
      <scheme val="minor"/>
    </font>
    <font>
      <sz val="14"/>
      <color theme="1"/>
      <name val="Times New Roman"/>
      <family val="1"/>
    </font>
    <font>
      <sz val="14"/>
      <color rgb="FF333333"/>
      <name val="Times New Roman"/>
      <family val="1"/>
    </font>
    <font>
      <sz val="14"/>
      <color rgb="FF222222"/>
      <name val="Times New Roman"/>
      <family val="1"/>
    </font>
    <font>
      <sz val="16"/>
      <color theme="1"/>
      <name val="Times New Roman"/>
      <family val="1"/>
    </font>
    <font>
      <sz val="16"/>
      <color rgb="FF333333"/>
      <name val="Times New Roman"/>
      <family val="1"/>
    </font>
    <font>
      <sz val="16"/>
      <name val="Times New Roman"/>
      <family val="1"/>
    </font>
    <font>
      <b/>
      <sz val="16"/>
      <color rgb="FF22222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8" fontId="1" fillId="0" borderId="0" xfId="0" applyNumberFormat="1" applyFont="1"/>
    <xf numFmtId="0" fontId="1" fillId="0" borderId="0" xfId="0" applyFont="1" applyAlignment="1">
      <alignment horizontal="left" vertical="center" wrapText="1"/>
    </xf>
    <xf numFmtId="8" fontId="0" fillId="0" borderId="0" xfId="0" applyNumberFormat="1"/>
    <xf numFmtId="14" fontId="0" fillId="0" borderId="0" xfId="0" applyNumberFormat="1"/>
    <xf numFmtId="6" fontId="0" fillId="0" borderId="0" xfId="0" applyNumberFormat="1"/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/>
    <xf numFmtId="8" fontId="7" fillId="0" borderId="0" xfId="0" applyNumberFormat="1" applyFont="1"/>
    <xf numFmtId="0" fontId="7" fillId="0" borderId="0" xfId="0" applyFont="1"/>
    <xf numFmtId="8" fontId="6" fillId="0" borderId="0" xfId="0" applyNumberFormat="1" applyFont="1"/>
    <xf numFmtId="8" fontId="8" fillId="0" borderId="0" xfId="0" applyNumberFormat="1" applyFont="1"/>
    <xf numFmtId="8" fontId="9" fillId="0" borderId="0" xfId="0" applyNumberFormat="1" applyFont="1"/>
    <xf numFmtId="0" fontId="6" fillId="0" borderId="0" xfId="0" applyFont="1" applyAlignment="1">
      <alignment wrapText="1"/>
    </xf>
    <xf numFmtId="0" fontId="7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9"/>
  <sheetViews>
    <sheetView tabSelected="1" topLeftCell="A43" zoomScale="76" workbookViewId="0">
      <selection activeCell="K35" sqref="K35"/>
    </sheetView>
  </sheetViews>
  <sheetFormatPr defaultRowHeight="20.5" x14ac:dyDescent="0.45"/>
  <cols>
    <col min="1" max="1" width="25.26953125" customWidth="1"/>
    <col min="2" max="2" width="23.453125" style="10" customWidth="1"/>
    <col min="3" max="3" width="25.81640625" customWidth="1"/>
    <col min="4" max="4" width="9.1796875" style="2" customWidth="1"/>
    <col min="5" max="5" width="11.36328125" customWidth="1"/>
    <col min="7" max="7" width="19.26953125" customWidth="1"/>
    <col min="8" max="8" width="11.453125" style="13" bestFit="1" customWidth="1"/>
    <col min="9" max="9" width="18.453125" customWidth="1"/>
    <col min="10" max="10" width="25" customWidth="1"/>
  </cols>
  <sheetData>
    <row r="1" spans="1:12" x14ac:dyDescent="0.45">
      <c r="A1" s="13" t="s">
        <v>0</v>
      </c>
      <c r="B1" s="19">
        <f>SUM(F:F)</f>
        <v>121.14</v>
      </c>
      <c r="C1" s="13"/>
      <c r="D1" s="19"/>
      <c r="E1" s="13"/>
      <c r="F1" s="13"/>
      <c r="G1" s="13"/>
      <c r="I1" s="13"/>
      <c r="J1" s="13"/>
      <c r="K1" s="13"/>
      <c r="L1" s="13"/>
    </row>
    <row r="2" spans="1:12" x14ac:dyDescent="0.45">
      <c r="A2" s="13" t="s">
        <v>1</v>
      </c>
      <c r="B2" s="19">
        <f>SUM(G:G)</f>
        <v>77.8</v>
      </c>
      <c r="C2" s="13"/>
      <c r="D2" s="19"/>
      <c r="E2" s="13"/>
      <c r="F2" s="13"/>
      <c r="G2" s="13"/>
      <c r="I2" s="13"/>
      <c r="J2" s="13"/>
      <c r="K2" s="13"/>
      <c r="L2" s="13"/>
    </row>
    <row r="3" spans="1:12" x14ac:dyDescent="0.45">
      <c r="A3" s="13" t="s">
        <v>2</v>
      </c>
      <c r="B3" s="19">
        <f>SUM(H:H)</f>
        <v>825.65</v>
      </c>
      <c r="C3" s="13"/>
      <c r="D3" s="19"/>
      <c r="E3" s="13"/>
      <c r="F3" s="13"/>
      <c r="G3" s="13"/>
      <c r="I3" s="13"/>
      <c r="J3" s="13"/>
      <c r="K3" s="13"/>
      <c r="L3" s="13"/>
    </row>
    <row r="4" spans="1:12" x14ac:dyDescent="0.45">
      <c r="A4" s="13" t="s">
        <v>3</v>
      </c>
      <c r="B4" s="19">
        <f>SUM(K:K)</f>
        <v>0</v>
      </c>
      <c r="C4" s="13"/>
      <c r="D4" s="19"/>
      <c r="E4" s="13"/>
      <c r="F4" s="13"/>
      <c r="G4" s="13"/>
      <c r="I4" s="13"/>
      <c r="J4" s="13"/>
      <c r="K4" s="13"/>
      <c r="L4" s="13"/>
    </row>
    <row r="5" spans="1:12" x14ac:dyDescent="0.45">
      <c r="A5" s="13"/>
      <c r="B5" s="19"/>
      <c r="C5" s="13"/>
      <c r="D5" s="19"/>
      <c r="E5" s="13"/>
      <c r="F5" s="13"/>
      <c r="G5" s="13"/>
      <c r="I5" s="13"/>
      <c r="J5" s="13"/>
      <c r="K5" s="13"/>
      <c r="L5" s="13"/>
    </row>
    <row r="6" spans="1:12" ht="41" x14ac:dyDescent="0.45">
      <c r="A6" s="13" t="s">
        <v>4</v>
      </c>
      <c r="B6" s="19" t="s">
        <v>5</v>
      </c>
      <c r="C6" s="13" t="s">
        <v>6</v>
      </c>
      <c r="D6" s="19" t="s">
        <v>7</v>
      </c>
      <c r="E6" s="13" t="s">
        <v>8</v>
      </c>
      <c r="F6" s="13" t="s">
        <v>9</v>
      </c>
      <c r="G6" s="13" t="s">
        <v>10</v>
      </c>
      <c r="H6" s="13" t="s">
        <v>11</v>
      </c>
      <c r="I6" s="13" t="s">
        <v>12</v>
      </c>
      <c r="J6" s="13" t="s">
        <v>13</v>
      </c>
      <c r="K6" s="13" t="s">
        <v>14</v>
      </c>
      <c r="L6" s="13" t="s">
        <v>15</v>
      </c>
    </row>
    <row r="7" spans="1:12" ht="41" x14ac:dyDescent="0.45">
      <c r="A7" s="13" t="s">
        <v>16</v>
      </c>
      <c r="B7" s="20" t="s">
        <v>17</v>
      </c>
      <c r="C7" s="13"/>
      <c r="D7" s="20" t="s">
        <v>33</v>
      </c>
      <c r="E7" s="13">
        <v>6</v>
      </c>
      <c r="F7" s="14">
        <v>2.95</v>
      </c>
      <c r="G7" s="13"/>
      <c r="I7" s="13"/>
      <c r="J7" s="13">
        <f>E7*I7</f>
        <v>0</v>
      </c>
      <c r="K7" s="13">
        <f>J7-H7</f>
        <v>0</v>
      </c>
      <c r="L7" s="13"/>
    </row>
    <row r="8" spans="1:12" ht="41" x14ac:dyDescent="0.45">
      <c r="A8" s="13"/>
      <c r="B8" s="20" t="s">
        <v>18</v>
      </c>
      <c r="C8" s="13"/>
      <c r="D8" s="19"/>
      <c r="E8" s="13">
        <v>6</v>
      </c>
      <c r="F8" s="14">
        <v>2.95</v>
      </c>
      <c r="G8" s="13"/>
      <c r="I8" s="13"/>
      <c r="J8" s="13"/>
      <c r="K8" s="13"/>
      <c r="L8" s="13"/>
    </row>
    <row r="9" spans="1:12" ht="41" x14ac:dyDescent="0.45">
      <c r="A9" s="13"/>
      <c r="B9" s="20" t="s">
        <v>19</v>
      </c>
      <c r="C9" s="13"/>
      <c r="D9" s="19"/>
      <c r="E9" s="13">
        <v>3</v>
      </c>
      <c r="F9" s="14">
        <v>2.95</v>
      </c>
      <c r="G9" s="13"/>
      <c r="I9" s="13"/>
      <c r="J9" s="13"/>
      <c r="K9" s="13"/>
      <c r="L9" s="13"/>
    </row>
    <row r="10" spans="1:12" ht="41" x14ac:dyDescent="0.45">
      <c r="A10" s="13"/>
      <c r="B10" s="20" t="s">
        <v>20</v>
      </c>
      <c r="C10" s="13"/>
      <c r="D10" s="19"/>
      <c r="E10" s="13">
        <v>6</v>
      </c>
      <c r="F10" s="14">
        <v>3.15</v>
      </c>
      <c r="G10" s="13"/>
      <c r="I10" s="13"/>
      <c r="J10" s="13"/>
      <c r="K10" s="13"/>
      <c r="L10" s="13"/>
    </row>
    <row r="11" spans="1:12" ht="41" x14ac:dyDescent="0.45">
      <c r="A11" s="13"/>
      <c r="B11" s="20" t="s">
        <v>21</v>
      </c>
      <c r="C11" s="13"/>
      <c r="D11" s="19"/>
      <c r="E11" s="13">
        <v>1</v>
      </c>
      <c r="F11" s="14">
        <v>8.75</v>
      </c>
      <c r="G11" s="13"/>
      <c r="I11" s="13"/>
      <c r="J11" s="13"/>
      <c r="K11" s="13"/>
      <c r="L11" s="13"/>
    </row>
    <row r="12" spans="1:12" ht="41" x14ac:dyDescent="0.45">
      <c r="A12" s="13"/>
      <c r="B12" s="20" t="s">
        <v>22</v>
      </c>
      <c r="C12" s="13"/>
      <c r="D12" s="19"/>
      <c r="E12" s="13">
        <v>5</v>
      </c>
      <c r="F12" s="14">
        <v>3.15</v>
      </c>
      <c r="G12" s="13"/>
      <c r="I12" s="13"/>
      <c r="J12" s="13"/>
      <c r="K12" s="13"/>
      <c r="L12" s="13"/>
    </row>
    <row r="13" spans="1:12" ht="61.5" x14ac:dyDescent="0.45">
      <c r="A13" s="13"/>
      <c r="B13" s="20" t="s">
        <v>23</v>
      </c>
      <c r="C13" s="13"/>
      <c r="D13" s="19"/>
      <c r="E13" s="13">
        <v>1</v>
      </c>
      <c r="F13" s="14">
        <v>8.75</v>
      </c>
      <c r="G13" s="13"/>
      <c r="I13" s="13"/>
      <c r="J13" s="13"/>
      <c r="K13" s="13"/>
      <c r="L13" s="13"/>
    </row>
    <row r="14" spans="1:12" ht="61.5" x14ac:dyDescent="0.45">
      <c r="A14" s="13"/>
      <c r="B14" s="20" t="s">
        <v>24</v>
      </c>
      <c r="C14" s="13"/>
      <c r="D14" s="19"/>
      <c r="E14" s="13">
        <v>3</v>
      </c>
      <c r="F14" s="14">
        <v>5.85</v>
      </c>
      <c r="G14" s="13"/>
      <c r="I14" s="13"/>
      <c r="J14" s="13"/>
      <c r="K14" s="13"/>
      <c r="L14" s="13"/>
    </row>
    <row r="15" spans="1:12" ht="41" x14ac:dyDescent="0.45">
      <c r="A15" s="13"/>
      <c r="B15" s="20" t="s">
        <v>25</v>
      </c>
      <c r="C15" s="13"/>
      <c r="D15" s="19"/>
      <c r="E15" s="13">
        <v>6</v>
      </c>
      <c r="F15" s="14">
        <v>2.95</v>
      </c>
      <c r="G15" s="13"/>
      <c r="I15" s="13"/>
      <c r="J15" s="13"/>
      <c r="K15" s="13"/>
      <c r="L15" s="13"/>
    </row>
    <row r="16" spans="1:12" ht="61.5" x14ac:dyDescent="0.45">
      <c r="A16" s="13"/>
      <c r="B16" s="20" t="s">
        <v>26</v>
      </c>
      <c r="C16" s="13"/>
      <c r="D16" s="19"/>
      <c r="E16" s="13">
        <v>6</v>
      </c>
      <c r="F16" s="14">
        <v>3.15</v>
      </c>
      <c r="G16" s="13"/>
      <c r="I16" s="13"/>
      <c r="J16" s="13"/>
      <c r="K16" s="13"/>
      <c r="L16" s="13"/>
    </row>
    <row r="17" spans="1:12" ht="61.5" x14ac:dyDescent="0.45">
      <c r="A17" s="13"/>
      <c r="B17" s="20" t="s">
        <v>27</v>
      </c>
      <c r="C17" s="13"/>
      <c r="D17" s="19"/>
      <c r="E17" s="13">
        <v>2</v>
      </c>
      <c r="F17" s="14">
        <v>3.15</v>
      </c>
      <c r="G17" s="13"/>
      <c r="I17" s="13"/>
      <c r="J17" s="13"/>
      <c r="K17" s="13"/>
      <c r="L17" s="13"/>
    </row>
    <row r="18" spans="1:12" ht="41" x14ac:dyDescent="0.45">
      <c r="A18" s="13"/>
      <c r="B18" s="20" t="s">
        <v>28</v>
      </c>
      <c r="C18" s="13"/>
      <c r="D18" s="19"/>
      <c r="E18" s="13">
        <v>6</v>
      </c>
      <c r="F18" s="14">
        <v>2.95</v>
      </c>
      <c r="G18" s="13"/>
      <c r="I18" s="13"/>
      <c r="J18" s="13"/>
      <c r="K18" s="13"/>
      <c r="L18" s="13"/>
    </row>
    <row r="19" spans="1:12" x14ac:dyDescent="0.45">
      <c r="A19" s="13"/>
      <c r="B19" s="19"/>
      <c r="C19" s="13"/>
      <c r="D19" s="19"/>
      <c r="E19" s="13"/>
      <c r="F19" s="13"/>
      <c r="G19" s="14">
        <v>23.94</v>
      </c>
      <c r="H19" s="14">
        <v>104.79</v>
      </c>
      <c r="I19" s="13"/>
      <c r="J19" s="13"/>
      <c r="K19" s="13"/>
      <c r="L19" s="13"/>
    </row>
    <row r="21" spans="1:12" ht="39.75" customHeight="1" x14ac:dyDescent="0.45">
      <c r="B21" s="11" t="s">
        <v>30</v>
      </c>
      <c r="D21" s="4" t="s">
        <v>29</v>
      </c>
      <c r="E21">
        <v>2</v>
      </c>
      <c r="F21" s="3">
        <v>24</v>
      </c>
      <c r="G21" s="1" t="s">
        <v>31</v>
      </c>
      <c r="H21" s="15" t="s">
        <v>32</v>
      </c>
    </row>
    <row r="22" spans="1:12" ht="84" x14ac:dyDescent="0.45">
      <c r="D22" s="4" t="s">
        <v>35</v>
      </c>
      <c r="E22">
        <v>15</v>
      </c>
      <c r="F22" s="3">
        <v>1.45</v>
      </c>
      <c r="G22" s="5">
        <v>32.799999999999997</v>
      </c>
      <c r="H22" s="16">
        <v>58.38</v>
      </c>
    </row>
    <row r="23" spans="1:12" x14ac:dyDescent="0.45">
      <c r="A23" s="6">
        <v>46050</v>
      </c>
      <c r="B23" s="10" t="s">
        <v>34</v>
      </c>
      <c r="D23" s="4"/>
    </row>
    <row r="24" spans="1:12" x14ac:dyDescent="0.45">
      <c r="D24" s="4"/>
    </row>
    <row r="25" spans="1:12" ht="30" x14ac:dyDescent="0.45">
      <c r="A25" s="6">
        <v>46053</v>
      </c>
      <c r="B25" s="10" t="s">
        <v>36</v>
      </c>
      <c r="C25" t="s">
        <v>37</v>
      </c>
      <c r="D25" s="2" t="s">
        <v>38</v>
      </c>
      <c r="E25">
        <v>11</v>
      </c>
      <c r="F25">
        <v>4.99</v>
      </c>
      <c r="G25">
        <v>7.92</v>
      </c>
      <c r="H25" s="16">
        <v>62.81</v>
      </c>
    </row>
    <row r="26" spans="1:12" ht="54.5" x14ac:dyDescent="0.45">
      <c r="A26" s="6">
        <v>46053</v>
      </c>
      <c r="B26" s="10" t="s">
        <v>39</v>
      </c>
      <c r="C26" t="s">
        <v>40</v>
      </c>
      <c r="D26" s="2" t="s">
        <v>41</v>
      </c>
      <c r="E26">
        <v>10</v>
      </c>
      <c r="F26" s="7">
        <v>4</v>
      </c>
      <c r="G26" s="5">
        <v>13.14</v>
      </c>
      <c r="H26" s="16">
        <v>53.14</v>
      </c>
    </row>
    <row r="27" spans="1:12" x14ac:dyDescent="0.45">
      <c r="B27" s="10" t="s">
        <v>42</v>
      </c>
      <c r="C27" t="s">
        <v>43</v>
      </c>
      <c r="D27" s="2" t="s">
        <v>44</v>
      </c>
      <c r="E27" t="s">
        <v>45</v>
      </c>
      <c r="F27" s="7">
        <v>8</v>
      </c>
      <c r="H27" s="16">
        <v>88</v>
      </c>
    </row>
    <row r="28" spans="1:12" x14ac:dyDescent="0.45">
      <c r="B28" s="10" t="s">
        <v>46</v>
      </c>
      <c r="C28" t="s">
        <v>47</v>
      </c>
      <c r="D28" s="2" t="s">
        <v>44</v>
      </c>
      <c r="E28">
        <v>10</v>
      </c>
      <c r="F28">
        <v>8</v>
      </c>
      <c r="H28" s="16">
        <v>80</v>
      </c>
    </row>
    <row r="29" spans="1:12" ht="36.5" x14ac:dyDescent="0.45">
      <c r="B29" s="12" t="s">
        <v>48</v>
      </c>
      <c r="D29" s="2" t="s">
        <v>49</v>
      </c>
      <c r="E29">
        <v>3</v>
      </c>
      <c r="F29">
        <v>10</v>
      </c>
      <c r="H29" s="17">
        <v>34.89</v>
      </c>
    </row>
    <row r="30" spans="1:12" ht="20" x14ac:dyDescent="0.4">
      <c r="B30" s="12" t="s">
        <v>50</v>
      </c>
      <c r="D30" s="2" t="s">
        <v>49</v>
      </c>
      <c r="E30">
        <v>3</v>
      </c>
      <c r="F30">
        <v>10</v>
      </c>
      <c r="H30" s="18">
        <v>34.86</v>
      </c>
    </row>
    <row r="31" spans="1:12" ht="54" x14ac:dyDescent="0.4">
      <c r="B31" s="12" t="s">
        <v>51</v>
      </c>
      <c r="D31" s="2" t="s">
        <v>49</v>
      </c>
      <c r="E31">
        <v>3</v>
      </c>
      <c r="H31" s="18">
        <v>45.07</v>
      </c>
    </row>
    <row r="32" spans="1:12" ht="54" x14ac:dyDescent="0.4">
      <c r="B32" s="12" t="s">
        <v>52</v>
      </c>
      <c r="D32" s="2" t="s">
        <v>49</v>
      </c>
      <c r="E32">
        <v>3</v>
      </c>
      <c r="H32" s="18">
        <v>51.26</v>
      </c>
    </row>
    <row r="33" spans="2:8" s="8" customFormat="1" ht="36" x14ac:dyDescent="0.4">
      <c r="B33" s="12" t="s">
        <v>53</v>
      </c>
      <c r="D33" s="9" t="s">
        <v>49</v>
      </c>
      <c r="E33" s="8">
        <v>1</v>
      </c>
      <c r="H33" s="18">
        <v>5.41</v>
      </c>
    </row>
    <row r="34" spans="2:8" ht="54" x14ac:dyDescent="0.4">
      <c r="B34" s="12" t="s">
        <v>54</v>
      </c>
      <c r="D34" s="9" t="s">
        <v>49</v>
      </c>
      <c r="E34">
        <v>3</v>
      </c>
      <c r="H34" s="18">
        <v>27</v>
      </c>
    </row>
    <row r="35" spans="2:8" ht="72" x14ac:dyDescent="0.4">
      <c r="B35" s="12" t="s">
        <v>55</v>
      </c>
      <c r="D35" s="9" t="s">
        <v>49</v>
      </c>
      <c r="E35">
        <v>2</v>
      </c>
      <c r="H35" s="18">
        <v>13.04</v>
      </c>
    </row>
    <row r="36" spans="2:8" ht="108" x14ac:dyDescent="0.4">
      <c r="B36" s="12" t="s">
        <v>56</v>
      </c>
      <c r="D36" s="9" t="s">
        <v>49</v>
      </c>
      <c r="E36">
        <v>2</v>
      </c>
      <c r="H36" s="18">
        <v>25</v>
      </c>
    </row>
    <row r="37" spans="2:8" ht="72" x14ac:dyDescent="0.4">
      <c r="B37" s="12" t="s">
        <v>57</v>
      </c>
      <c r="D37" s="9" t="s">
        <v>49</v>
      </c>
      <c r="E37">
        <v>2</v>
      </c>
      <c r="H37" s="18">
        <v>23</v>
      </c>
    </row>
    <row r="38" spans="2:8" ht="72" x14ac:dyDescent="0.4">
      <c r="B38" s="12" t="s">
        <v>58</v>
      </c>
      <c r="D38" s="9" t="s">
        <v>49</v>
      </c>
      <c r="E38">
        <v>1</v>
      </c>
      <c r="H38" s="18">
        <v>5</v>
      </c>
    </row>
    <row r="39" spans="2:8" ht="54" x14ac:dyDescent="0.4">
      <c r="B39" s="12" t="s">
        <v>59</v>
      </c>
      <c r="D39" s="9" t="s">
        <v>49</v>
      </c>
      <c r="E39">
        <v>10</v>
      </c>
      <c r="H39" s="18">
        <v>2</v>
      </c>
    </row>
    <row r="40" spans="2:8" ht="72" x14ac:dyDescent="0.4">
      <c r="B40" s="12" t="s">
        <v>60</v>
      </c>
      <c r="D40" s="9" t="s">
        <v>49</v>
      </c>
      <c r="E40">
        <v>1</v>
      </c>
      <c r="H40" s="18">
        <v>9</v>
      </c>
    </row>
    <row r="41" spans="2:8" ht="54" x14ac:dyDescent="0.4">
      <c r="B41" s="12" t="s">
        <v>61</v>
      </c>
      <c r="D41" s="9" t="s">
        <v>49</v>
      </c>
      <c r="E41">
        <v>1</v>
      </c>
      <c r="H41" s="18">
        <v>3</v>
      </c>
    </row>
    <row r="42" spans="2:8" ht="54" x14ac:dyDescent="0.4">
      <c r="B42" s="12" t="s">
        <v>62</v>
      </c>
      <c r="D42" s="9" t="s">
        <v>49</v>
      </c>
      <c r="E42">
        <v>1</v>
      </c>
      <c r="H42" s="18">
        <v>11</v>
      </c>
    </row>
    <row r="43" spans="2:8" ht="54" x14ac:dyDescent="0.4">
      <c r="B43" s="12" t="s">
        <v>63</v>
      </c>
      <c r="D43" s="9" t="s">
        <v>49</v>
      </c>
      <c r="E43">
        <v>1</v>
      </c>
      <c r="H43" s="18">
        <v>12</v>
      </c>
    </row>
    <row r="44" spans="2:8" ht="36" x14ac:dyDescent="0.4">
      <c r="B44" s="12" t="s">
        <v>64</v>
      </c>
      <c r="D44" s="9" t="s">
        <v>49</v>
      </c>
      <c r="E44">
        <v>2</v>
      </c>
      <c r="H44" s="18">
        <v>10</v>
      </c>
    </row>
    <row r="45" spans="2:8" ht="54" x14ac:dyDescent="0.4">
      <c r="B45" s="12" t="s">
        <v>65</v>
      </c>
      <c r="D45" s="9" t="s">
        <v>49</v>
      </c>
      <c r="E45">
        <v>5</v>
      </c>
      <c r="H45" s="18">
        <v>5</v>
      </c>
    </row>
    <row r="46" spans="2:8" ht="36" x14ac:dyDescent="0.4">
      <c r="B46" s="12" t="s">
        <v>66</v>
      </c>
      <c r="D46" s="9" t="s">
        <v>49</v>
      </c>
      <c r="E46">
        <v>1</v>
      </c>
      <c r="H46" s="18">
        <v>6</v>
      </c>
    </row>
    <row r="47" spans="2:8" ht="54" x14ac:dyDescent="0.4">
      <c r="B47" s="12" t="s">
        <v>67</v>
      </c>
      <c r="D47" s="9" t="s">
        <v>49</v>
      </c>
      <c r="E47">
        <v>2</v>
      </c>
      <c r="H47" s="18">
        <v>22</v>
      </c>
    </row>
    <row r="48" spans="2:8" ht="36" x14ac:dyDescent="0.4">
      <c r="B48" s="12" t="s">
        <v>68</v>
      </c>
      <c r="D48" s="9" t="s">
        <v>49</v>
      </c>
      <c r="E48">
        <v>2</v>
      </c>
      <c r="H48" s="18">
        <v>22</v>
      </c>
    </row>
    <row r="49" spans="2:8" ht="36" x14ac:dyDescent="0.4">
      <c r="B49" s="12" t="s">
        <v>69</v>
      </c>
      <c r="D49" s="9" t="s">
        <v>49</v>
      </c>
      <c r="E49">
        <v>1</v>
      </c>
      <c r="H49" s="18">
        <v>12</v>
      </c>
    </row>
  </sheetData>
  <pageMargins left="0.75" right="0.75" top="1" bottom="1" header="0.5" footer="0.5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Americanselect shop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brian nji</cp:lastModifiedBy>
  <dcterms:created xsi:type="dcterms:W3CDTF">2026-01-15T16:50:11Z</dcterms:created>
  <dcterms:modified xsi:type="dcterms:W3CDTF">2026-02-20T18:04:33Z</dcterms:modified>
</cp:coreProperties>
</file>